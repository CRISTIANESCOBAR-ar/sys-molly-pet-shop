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ys-Molly\public\"/>
    </mc:Choice>
  </mc:AlternateContent>
  <xr:revisionPtr revIDLastSave="0" documentId="8_{6D8A6D05-B00F-4233-9897-D65D80F7FAB9}" xr6:coauthVersionLast="47" xr6:coauthVersionMax="47" xr10:uidLastSave="{00000000-0000-0000-0000-000000000000}"/>
  <bookViews>
    <workbookView xWindow="-120" yWindow="-120" windowWidth="20730" windowHeight="11040" xr2:uid="{31597471-4144-44D5-B73A-A715E5DBA421}"/>
  </bookViews>
  <sheets>
    <sheet name="COMPRAS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0" i="1" l="1"/>
  <c r="H140" i="1"/>
  <c r="I139" i="1"/>
  <c r="J139" i="1" s="1"/>
  <c r="H139" i="1"/>
  <c r="I138" i="1"/>
  <c r="H138" i="1"/>
  <c r="J138" i="1" s="1"/>
  <c r="J137" i="1"/>
  <c r="I137" i="1"/>
  <c r="H137" i="1"/>
  <c r="I136" i="1"/>
  <c r="H136" i="1"/>
  <c r="J136" i="1" s="1"/>
  <c r="I135" i="1"/>
  <c r="H135" i="1"/>
  <c r="J135" i="1" s="1"/>
  <c r="J134" i="1"/>
  <c r="I134" i="1"/>
  <c r="H134" i="1"/>
  <c r="J133" i="1"/>
  <c r="I133" i="1"/>
  <c r="H133" i="1"/>
  <c r="I132" i="1"/>
  <c r="H132" i="1"/>
  <c r="G132" i="1"/>
  <c r="F132" i="1"/>
  <c r="F131" i="1"/>
  <c r="G131" i="1" s="1"/>
  <c r="H130" i="1"/>
  <c r="J130" i="1" s="1"/>
  <c r="F130" i="1"/>
  <c r="F129" i="1"/>
  <c r="H129" i="1" s="1"/>
  <c r="J129" i="1" s="1"/>
  <c r="F128" i="1"/>
  <c r="H128" i="1" s="1"/>
  <c r="J128" i="1" s="1"/>
  <c r="J127" i="1"/>
  <c r="H127" i="1"/>
  <c r="F127" i="1"/>
  <c r="H126" i="1"/>
  <c r="J126" i="1" s="1"/>
  <c r="F126" i="1"/>
  <c r="F125" i="1"/>
  <c r="H125" i="1" s="1"/>
  <c r="J125" i="1" s="1"/>
  <c r="F124" i="1"/>
  <c r="H124" i="1" s="1"/>
  <c r="J124" i="1" s="1"/>
  <c r="I123" i="1"/>
  <c r="F123" i="1"/>
  <c r="H123" i="1" s="1"/>
  <c r="J123" i="1" s="1"/>
  <c r="I122" i="1"/>
  <c r="F122" i="1"/>
  <c r="H122" i="1" s="1"/>
  <c r="J122" i="1" s="1"/>
  <c r="J121" i="1"/>
  <c r="I121" i="1"/>
  <c r="H121" i="1"/>
  <c r="I120" i="1"/>
  <c r="J120" i="1" s="1"/>
  <c r="H120" i="1"/>
  <c r="I119" i="1"/>
  <c r="H119" i="1"/>
  <c r="J119" i="1" s="1"/>
  <c r="I118" i="1"/>
  <c r="H118" i="1"/>
  <c r="J118" i="1" s="1"/>
  <c r="J117" i="1"/>
  <c r="I117" i="1"/>
  <c r="H117" i="1"/>
  <c r="I116" i="1"/>
  <c r="H116" i="1"/>
  <c r="J116" i="1" s="1"/>
  <c r="I115" i="1"/>
  <c r="H115" i="1"/>
  <c r="J115" i="1" s="1"/>
  <c r="I114" i="1"/>
  <c r="F114" i="1"/>
  <c r="H114" i="1" s="1"/>
  <c r="J114" i="1" s="1"/>
  <c r="I113" i="1"/>
  <c r="F113" i="1"/>
  <c r="H113" i="1" s="1"/>
  <c r="J112" i="1"/>
  <c r="I112" i="1"/>
  <c r="H112" i="1"/>
  <c r="F112" i="1"/>
  <c r="I111" i="1"/>
  <c r="F111" i="1"/>
  <c r="H111" i="1" s="1"/>
  <c r="J111" i="1" s="1"/>
  <c r="J110" i="1"/>
  <c r="I110" i="1"/>
  <c r="H110" i="1"/>
  <c r="F110" i="1"/>
  <c r="I109" i="1"/>
  <c r="F109" i="1"/>
  <c r="H109" i="1" s="1"/>
  <c r="I108" i="1"/>
  <c r="J108" i="1" s="1"/>
  <c r="H108" i="1"/>
  <c r="F108" i="1"/>
  <c r="I107" i="1"/>
  <c r="F107" i="1"/>
  <c r="H107" i="1" s="1"/>
  <c r="J107" i="1" s="1"/>
  <c r="I106" i="1"/>
  <c r="J106" i="1" s="1"/>
  <c r="H106" i="1"/>
  <c r="F106" i="1"/>
  <c r="I105" i="1"/>
  <c r="F105" i="1"/>
  <c r="H105" i="1" s="1"/>
  <c r="J105" i="1" s="1"/>
  <c r="I104" i="1"/>
  <c r="J104" i="1" s="1"/>
  <c r="H104" i="1"/>
  <c r="F104" i="1"/>
  <c r="I103" i="1"/>
  <c r="F103" i="1"/>
  <c r="H103" i="1" s="1"/>
  <c r="J103" i="1" s="1"/>
  <c r="I102" i="1"/>
  <c r="J102" i="1" s="1"/>
  <c r="H102" i="1"/>
  <c r="F102" i="1"/>
  <c r="I101" i="1"/>
  <c r="F101" i="1"/>
  <c r="H101" i="1" s="1"/>
  <c r="J101" i="1" s="1"/>
  <c r="I100" i="1"/>
  <c r="J100" i="1" s="1"/>
  <c r="H100" i="1"/>
  <c r="F100" i="1"/>
  <c r="I99" i="1"/>
  <c r="F99" i="1"/>
  <c r="H99" i="1" s="1"/>
  <c r="J99" i="1" s="1"/>
  <c r="I98" i="1"/>
  <c r="J98" i="1" s="1"/>
  <c r="H98" i="1"/>
  <c r="J97" i="1"/>
  <c r="I97" i="1"/>
  <c r="H97" i="1"/>
  <c r="J96" i="1"/>
  <c r="H96" i="1"/>
  <c r="I95" i="1"/>
  <c r="J95" i="1" s="1"/>
  <c r="H95" i="1"/>
  <c r="J94" i="1"/>
  <c r="I94" i="1"/>
  <c r="H94" i="1"/>
  <c r="I93" i="1"/>
  <c r="H93" i="1"/>
  <c r="J92" i="1"/>
  <c r="H92" i="1"/>
  <c r="F90" i="1"/>
  <c r="I90" i="1" s="1"/>
  <c r="J90" i="1" s="1"/>
  <c r="F89" i="1"/>
  <c r="H89" i="1" s="1"/>
  <c r="F88" i="1"/>
  <c r="I88" i="1" s="1"/>
  <c r="F87" i="1"/>
  <c r="H87" i="1" s="1"/>
  <c r="F86" i="1"/>
  <c r="I86" i="1" s="1"/>
  <c r="J86" i="1" s="1"/>
  <c r="F85" i="1"/>
  <c r="H85" i="1" s="1"/>
  <c r="F84" i="1"/>
  <c r="I84" i="1" s="1"/>
  <c r="J84" i="1" s="1"/>
  <c r="H83" i="1"/>
  <c r="H82" i="1"/>
  <c r="I81" i="1"/>
  <c r="J81" i="1" s="1"/>
  <c r="H81" i="1"/>
  <c r="J80" i="1"/>
  <c r="H80" i="1"/>
  <c r="J79" i="1"/>
  <c r="H79" i="1"/>
  <c r="J78" i="1"/>
  <c r="H78" i="1"/>
  <c r="J77" i="1"/>
  <c r="H77" i="1"/>
  <c r="I76" i="1"/>
  <c r="H76" i="1"/>
  <c r="I75" i="1"/>
  <c r="H75" i="1"/>
  <c r="I74" i="1"/>
  <c r="J74" i="1" s="1"/>
  <c r="H74" i="1"/>
  <c r="J73" i="1"/>
  <c r="H73" i="1"/>
  <c r="I72" i="1"/>
  <c r="J72" i="1" s="1"/>
  <c r="H72" i="1"/>
  <c r="I71" i="1"/>
  <c r="H71" i="1"/>
  <c r="I70" i="1"/>
  <c r="H70" i="1"/>
  <c r="I69" i="1"/>
  <c r="H69" i="1"/>
  <c r="I68" i="1"/>
  <c r="H68" i="1"/>
  <c r="I67" i="1"/>
  <c r="J67" i="1" s="1"/>
  <c r="H67" i="1"/>
  <c r="I66" i="1"/>
  <c r="H66" i="1"/>
  <c r="I65" i="1"/>
  <c r="H65" i="1"/>
  <c r="I64" i="1"/>
  <c r="J64" i="1" s="1"/>
  <c r="H64" i="1"/>
  <c r="J63" i="1"/>
  <c r="H63" i="1"/>
  <c r="J62" i="1"/>
  <c r="H62" i="1"/>
  <c r="J61" i="1"/>
  <c r="H61" i="1"/>
  <c r="J60" i="1"/>
  <c r="H60" i="1"/>
  <c r="I59" i="1"/>
  <c r="H59" i="1"/>
  <c r="J58" i="1"/>
  <c r="H58" i="1"/>
  <c r="J57" i="1"/>
  <c r="H57" i="1"/>
  <c r="J56" i="1"/>
  <c r="H56" i="1"/>
  <c r="J55" i="1"/>
  <c r="H55" i="1"/>
  <c r="J54" i="1"/>
  <c r="I54" i="1"/>
  <c r="H54" i="1"/>
  <c r="H53" i="1"/>
  <c r="I52" i="1"/>
  <c r="H52" i="1"/>
  <c r="H50" i="1"/>
  <c r="J49" i="1"/>
  <c r="I49" i="1"/>
  <c r="H49" i="1"/>
  <c r="J48" i="1"/>
  <c r="I48" i="1"/>
  <c r="H48" i="1"/>
  <c r="I47" i="1"/>
  <c r="J47" i="1" s="1"/>
  <c r="H47" i="1"/>
  <c r="J46" i="1"/>
  <c r="I46" i="1"/>
  <c r="H46" i="1"/>
  <c r="I45" i="1"/>
  <c r="J45" i="1" s="1"/>
  <c r="H45" i="1"/>
  <c r="J44" i="1"/>
  <c r="I44" i="1"/>
  <c r="H44" i="1"/>
  <c r="H43" i="1"/>
  <c r="H42" i="1"/>
  <c r="L41" i="1"/>
  <c r="H41" i="1"/>
  <c r="L40" i="1"/>
  <c r="H40" i="1"/>
  <c r="L39" i="1"/>
  <c r="H39" i="1"/>
  <c r="L38" i="1"/>
  <c r="H38" i="1"/>
  <c r="L37" i="1"/>
  <c r="H37" i="1"/>
  <c r="L36" i="1"/>
  <c r="H36" i="1"/>
  <c r="L35" i="1"/>
  <c r="H35" i="1"/>
  <c r="L34" i="1"/>
  <c r="H34" i="1"/>
  <c r="L33" i="1"/>
  <c r="H33" i="1"/>
  <c r="L32" i="1"/>
  <c r="H32" i="1"/>
  <c r="L31" i="1"/>
  <c r="H31" i="1"/>
  <c r="L30" i="1"/>
  <c r="H30" i="1"/>
  <c r="H29" i="1"/>
  <c r="H28" i="1"/>
  <c r="H27" i="1"/>
  <c r="H26" i="1"/>
  <c r="J25" i="1"/>
  <c r="I25" i="1"/>
  <c r="H25" i="1"/>
  <c r="J24" i="1"/>
  <c r="I24" i="1"/>
  <c r="H24" i="1"/>
  <c r="I23" i="1"/>
  <c r="J23" i="1" s="1"/>
  <c r="H23" i="1"/>
  <c r="J22" i="1"/>
  <c r="I22" i="1"/>
  <c r="H22" i="1"/>
  <c r="I21" i="1"/>
  <c r="J21" i="1" s="1"/>
  <c r="H21" i="1"/>
  <c r="J20" i="1"/>
  <c r="I20" i="1"/>
  <c r="H20" i="1"/>
  <c r="I19" i="1"/>
  <c r="J19" i="1" s="1"/>
  <c r="H19" i="1"/>
  <c r="I18" i="1"/>
  <c r="J18" i="1" s="1"/>
  <c r="H18" i="1"/>
  <c r="J17" i="1"/>
  <c r="I17" i="1"/>
  <c r="H17" i="1"/>
  <c r="J16" i="1"/>
  <c r="I16" i="1"/>
  <c r="H16" i="1"/>
  <c r="L15" i="1"/>
  <c r="I15" i="1"/>
  <c r="H15" i="1"/>
  <c r="L14" i="1"/>
  <c r="I14" i="1"/>
  <c r="J14" i="1" s="1"/>
  <c r="H14" i="1"/>
  <c r="I13" i="1"/>
  <c r="H13" i="1"/>
  <c r="I12" i="1"/>
  <c r="H12" i="1"/>
  <c r="L11" i="1"/>
  <c r="I11" i="1"/>
  <c r="H11" i="1"/>
  <c r="L10" i="1"/>
  <c r="I10" i="1"/>
  <c r="H10" i="1"/>
  <c r="J9" i="1"/>
  <c r="I9" i="1"/>
  <c r="H9" i="1"/>
  <c r="I8" i="1"/>
  <c r="J8" i="1" s="1"/>
  <c r="H8" i="1"/>
  <c r="I7" i="1"/>
  <c r="J7" i="1" s="1"/>
  <c r="H7" i="1"/>
  <c r="J6" i="1"/>
  <c r="I6" i="1"/>
  <c r="H6" i="1"/>
  <c r="J5" i="1"/>
  <c r="I5" i="1"/>
  <c r="H5" i="1"/>
  <c r="I4" i="1"/>
  <c r="J4" i="1" s="1"/>
  <c r="H4" i="1"/>
  <c r="J3" i="1"/>
  <c r="I3" i="1"/>
  <c r="H3" i="1"/>
  <c r="I2" i="1"/>
  <c r="J2" i="1" s="1"/>
  <c r="H2" i="1"/>
  <c r="I131" i="1" l="1"/>
  <c r="H131" i="1"/>
  <c r="I85" i="1"/>
  <c r="J85" i="1" s="1"/>
  <c r="I87" i="1"/>
  <c r="J87" i="1" s="1"/>
  <c r="I89" i="1"/>
  <c r="J89" i="1" s="1"/>
  <c r="H84" i="1"/>
  <c r="H86" i="1"/>
  <c r="H88" i="1"/>
  <c r="J88" i="1" s="1"/>
  <c r="H90" i="1"/>
</calcChain>
</file>

<file path=xl/sharedStrings.xml><?xml version="1.0" encoding="utf-8"?>
<sst xmlns="http://schemas.openxmlformats.org/spreadsheetml/2006/main" count="342" uniqueCount="161">
  <si>
    <t>FECHA</t>
  </si>
  <si>
    <t>CANT</t>
  </si>
  <si>
    <t>NOMBRE</t>
  </si>
  <si>
    <t>KG</t>
  </si>
  <si>
    <t>PRECIO UN</t>
  </si>
  <si>
    <t xml:space="preserve"> 21% IVA</t>
  </si>
  <si>
    <t>TOTAL MAS IVA</t>
  </si>
  <si>
    <t>TOTAL</t>
  </si>
  <si>
    <t xml:space="preserve"> BOLSA PUBLICO</t>
  </si>
  <si>
    <t>PROVEEDOR</t>
  </si>
  <si>
    <t>PRECIO NUEVO</t>
  </si>
  <si>
    <t>Cariamici Gato pollo y atun</t>
  </si>
  <si>
    <t>10 kg</t>
  </si>
  <si>
    <t>MAS</t>
  </si>
  <si>
    <t>Cariamici Pescado</t>
  </si>
  <si>
    <t>15 kg</t>
  </si>
  <si>
    <t>Cariamici perro Raza pequeña</t>
  </si>
  <si>
    <t>20 kg</t>
  </si>
  <si>
    <t>Cariamici pollo y vegetales</t>
  </si>
  <si>
    <t>CARIAMICI CACHORRO</t>
  </si>
  <si>
    <t>20 KG</t>
  </si>
  <si>
    <t>AGROCAN</t>
  </si>
  <si>
    <t>15 KG</t>
  </si>
  <si>
    <t>22 KG</t>
  </si>
  <si>
    <t>MEDALLA HUESO C/STRASS</t>
  </si>
  <si>
    <t>DIJE COLLAR</t>
  </si>
  <si>
    <t>medallas de identific. Metal grande</t>
  </si>
  <si>
    <t>medallas de identific. Metal chica</t>
  </si>
  <si>
    <t>COLLAR AJUSTABLE LUZ LED</t>
  </si>
  <si>
    <t>CADENA DE PASEO</t>
  </si>
  <si>
    <t xml:space="preserve">Vitalfun Arena Aglomerante Lavanda </t>
  </si>
  <si>
    <t>12Kg</t>
  </si>
  <si>
    <t>WHISKAS CARNE</t>
  </si>
  <si>
    <t>10 KG</t>
  </si>
  <si>
    <t>CARAM</t>
  </si>
  <si>
    <t>WHISKAS GATITO</t>
  </si>
  <si>
    <t>SABROSITO CACHORRO</t>
  </si>
  <si>
    <t>18 KG</t>
  </si>
  <si>
    <t xml:space="preserve">ENERCOP CONEJO 25KG </t>
  </si>
  <si>
    <t>25 kg</t>
  </si>
  <si>
    <t>SCHIARELLO</t>
  </si>
  <si>
    <t xml:space="preserve">ENERCOP PONEDORA 25KG </t>
  </si>
  <si>
    <t xml:space="preserve">MAÍZ ENTERO 30kg </t>
  </si>
  <si>
    <t>30 kg</t>
  </si>
  <si>
    <t xml:space="preserve">ARROCIN 30KG </t>
  </si>
  <si>
    <t xml:space="preserve">DOG SELECTION CACHORRO carne pollo y leche 21 KGS </t>
  </si>
  <si>
    <t>21 kg</t>
  </si>
  <si>
    <t>ESTAMPA PLUS PERRO CACHORRO 15 KGS</t>
  </si>
  <si>
    <t>FRESH CAT PIEDRA SANITARIA x2 kg</t>
  </si>
  <si>
    <t>2 kg</t>
  </si>
  <si>
    <t>POOPY PETS COLCHON SANITARIO 2 KGS</t>
  </si>
  <si>
    <t>CAT WAY CITRUS PIEDRAS SABORIZADAS 3,7 KG</t>
  </si>
  <si>
    <t>3,7 kg</t>
  </si>
  <si>
    <t>CAT WAY LAVANDA PIEDRAS SABORIZADAS 3,7 KG</t>
  </si>
  <si>
    <t>COMEDERO ACERO INOXIDABLE 15 CM</t>
  </si>
  <si>
    <t>FY P</t>
  </si>
  <si>
    <t>COMEDERO ACERO INOXIDABLE 22 CM</t>
  </si>
  <si>
    <t>COMEDERO ACERO INOXIDABLE 26 CM</t>
  </si>
  <si>
    <t>COMEDERO ACERO INOXIDABLE 30 CM</t>
  </si>
  <si>
    <t>COMEDERO ACERO INOXIDABLE 38 CM</t>
  </si>
  <si>
    <t xml:space="preserve">COMEDERO CON TOLVA </t>
  </si>
  <si>
    <t>KIT SANITARIO MEDIANO</t>
  </si>
  <si>
    <t>KIT SANITARIO JUMBO</t>
  </si>
  <si>
    <t>PELOTA DE GOMA MEDIANA</t>
  </si>
  <si>
    <t>PELOTA DE GOMA GRANDE</t>
  </si>
  <si>
    <t>SUPER ECO</t>
  </si>
  <si>
    <t>LAURITA HNOS</t>
  </si>
  <si>
    <t>MONTAÑEZ GATO</t>
  </si>
  <si>
    <t>GATI</t>
  </si>
  <si>
    <t>NATA</t>
  </si>
  <si>
    <t>AGILITY  URINARY</t>
  </si>
  <si>
    <t>MANADA 15 KG</t>
  </si>
  <si>
    <t>MANADA 20 KG</t>
  </si>
  <si>
    <t>WHISKAS PESCADO</t>
  </si>
  <si>
    <t>PEDIGREE RAZA PEQUEÑA</t>
  </si>
  <si>
    <t xml:space="preserve">BALANCEAR PERRO ADULTO </t>
  </si>
  <si>
    <t xml:space="preserve">BALANCEAR GATO PESCADO </t>
  </si>
  <si>
    <t xml:space="preserve">VAGONETA GATITO CACHORRO </t>
  </si>
  <si>
    <t xml:space="preserve">10 KGS </t>
  </si>
  <si>
    <t>RAZA PERRO ADULTO Carne</t>
  </si>
  <si>
    <t xml:space="preserve"> 15 KG</t>
  </si>
  <si>
    <t xml:space="preserve">RAZA PERRO ADULTO Mord. Peq. Carne </t>
  </si>
  <si>
    <t xml:space="preserve">15 KG </t>
  </si>
  <si>
    <t xml:space="preserve">RAZA GATO ADULTO Carne, arroz y pescado </t>
  </si>
  <si>
    <t xml:space="preserve"> 10 KG </t>
  </si>
  <si>
    <t>DOG SELECTION CACHORRO carne pollo y leche 21 KGS</t>
  </si>
  <si>
    <t>21 KG</t>
  </si>
  <si>
    <t>FRESH CAT PIEDRA SANITARIA</t>
  </si>
  <si>
    <t xml:space="preserve"> 6 UNI X 2 KGS</t>
  </si>
  <si>
    <t xml:space="preserve">DOG SELECTION ADULTO mord. peq. </t>
  </si>
  <si>
    <t>15 KGS</t>
  </si>
  <si>
    <t xml:space="preserve">DOG SELECTION ADULTO carne y pollo </t>
  </si>
  <si>
    <t>21 KGS</t>
  </si>
  <si>
    <t xml:space="preserve">7 VIDAS GATO ADULTO carne y pollo </t>
  </si>
  <si>
    <t>10 KGS</t>
  </si>
  <si>
    <t xml:space="preserve">7 VIDAS GATO ADULTO salmon 10 </t>
  </si>
  <si>
    <t>ESTAMPA RAZA PEQUEÑA</t>
  </si>
  <si>
    <t>20  kg</t>
  </si>
  <si>
    <t>1 KG</t>
  </si>
  <si>
    <t>PEDIGREE CACHORRO</t>
  </si>
  <si>
    <t>MANADA ADULTO</t>
  </si>
  <si>
    <t xml:space="preserve"> NATUFRESH GATO -POLLO </t>
  </si>
  <si>
    <t>85 GR</t>
  </si>
  <si>
    <t>NATUFRESH GATO - PESCADO</t>
  </si>
  <si>
    <t>CAN ACTIVE ADULTO 20kg -</t>
  </si>
  <si>
    <t>4 HUELLAS GATO 20kg -</t>
  </si>
  <si>
    <t>4 HUELLAS GATO KITTEN 20kg -</t>
  </si>
  <si>
    <t>WINCAT 50dm3 - 22 KG</t>
  </si>
  <si>
    <t>S902 PELOTA GRANDE CON SOGA (65 cm)</t>
  </si>
  <si>
    <t>RASCADOR INFINITO RELLENO N7</t>
  </si>
  <si>
    <t>VARITA N° 3</t>
  </si>
  <si>
    <t>SHAMPU PULGUICIDA</t>
  </si>
  <si>
    <t>HECTOPAR TALCO PLUS</t>
  </si>
  <si>
    <t>SHAMPU CACHORRO ELMER</t>
  </si>
  <si>
    <t>SHAMOU Y ACONDICIONADOR ELMER</t>
  </si>
  <si>
    <t>9 VIDAS CASTRADO</t>
  </si>
  <si>
    <t>CARIAMICI GATO PESCADO</t>
  </si>
  <si>
    <t>CARIAMICI GATO POLLO Y ATUN</t>
  </si>
  <si>
    <t>MANADA</t>
  </si>
  <si>
    <t>PEDIGREE POUCH CARNE</t>
  </si>
  <si>
    <t>LATAS CARNE SERNIOR</t>
  </si>
  <si>
    <t>LATAS CARNE SENIOR</t>
  </si>
  <si>
    <t>340 GR</t>
  </si>
  <si>
    <t>LATAS CACHORRO</t>
  </si>
  <si>
    <t>SABROSITO MIX GATO</t>
  </si>
  <si>
    <t>SABROSITO MIX PERRO</t>
  </si>
  <si>
    <t>VAGONETA GATITO</t>
  </si>
  <si>
    <t>10  kg</t>
  </si>
  <si>
    <t>VAGONETA CACHORRO</t>
  </si>
  <si>
    <t>PIPETA PERRO HASTA 4 KG</t>
  </si>
  <si>
    <t>PIPETA  PERRO HASTA 4 A 10 KG</t>
  </si>
  <si>
    <t>PIPETA PERRO  HASTA 10 A 25 KG</t>
  </si>
  <si>
    <t>PIPETA GATO 1 A 4 KG</t>
  </si>
  <si>
    <t>PIPETA GATO MAS DE  4 KG</t>
  </si>
  <si>
    <t>SIMPARICA 2,5 A 5 KG</t>
  </si>
  <si>
    <t>SIMPARICA DE 10 A 20 KG</t>
  </si>
  <si>
    <t xml:space="preserve">CARIAMICI CACHORRO </t>
  </si>
  <si>
    <t>Cod: PS4512  CORREA Y COLLAR C7 STRASS</t>
  </si>
  <si>
    <t>Cod: PET7924  CADENA DE PASEO 1.2 X 2MM</t>
  </si>
  <si>
    <t>Cod:PS5421 MORDILLO HUESO</t>
  </si>
  <si>
    <t>PS9136 BLISTER</t>
  </si>
  <si>
    <t>CARIAMICI CARNE POLLO Y VEGE</t>
  </si>
  <si>
    <t>CARIAMICI PERRO CARNE</t>
  </si>
  <si>
    <t>10KG</t>
  </si>
  <si>
    <t>COLLAR ISABELLINO N 1</t>
  </si>
  <si>
    <t>COLLAR ISABELLINO N 2</t>
  </si>
  <si>
    <t>SABROSITO GATITO</t>
  </si>
  <si>
    <t>VAGONETA GATO</t>
  </si>
  <si>
    <t>CAN ACTIVE ADULTO RAZAS PEQUEÑAS  20 KG</t>
  </si>
  <si>
    <t xml:space="preserve">CAN ACTIVE ADULTO 20kg </t>
  </si>
  <si>
    <t>CATPRO 7,5kg -</t>
  </si>
  <si>
    <t>CAT LIKE 7,5 KG</t>
  </si>
  <si>
    <t>4 HUELLAS GATO 20kg -$</t>
  </si>
  <si>
    <t>PIEDRA AGLUTINANTE DOYPACK x4kg -</t>
  </si>
  <si>
    <t>CAMA SANITARIA UNIVERSAL 6dm3/lts -</t>
  </si>
  <si>
    <t xml:space="preserve">AGROCAN </t>
  </si>
  <si>
    <t>SABROSITO ADULTO</t>
  </si>
  <si>
    <t>SABROSITO GATO MIX</t>
  </si>
  <si>
    <t>SABROSITO PESCADO</t>
  </si>
  <si>
    <t>HUESO CRUDO 2/3</t>
  </si>
  <si>
    <t>HUESO CRUDO 4/5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</si>
</sst>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&quot;$&quot;\ #,##0.00"/>
    <numFmt numFmtId="165" formatCode="dd/mm/yy;@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6">
    <xf numFmtId="0" fontId="0" fillId="0" borderId="0" xfId="0"/>
    <xf numFmtId="1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9" fontId="0" fillId="2" borderId="1" xfId="0" applyNumberFormat="1" applyFill="1" applyBorder="1" applyAlignment="1">
      <alignment horizontal="center"/>
    </xf>
    <xf numFmtId="164" fontId="0" fillId="2" borderId="1" xfId="0" applyNumberFormat="1" applyFill="1" applyBorder="1"/>
    <xf numFmtId="0" fontId="0" fillId="2" borderId="1" xfId="0" applyFill="1" applyBorder="1"/>
    <xf numFmtId="164" fontId="0" fillId="0" borderId="1" xfId="0" applyNumberFormat="1" applyBorder="1"/>
    <xf numFmtId="0" fontId="0" fillId="0" borderId="2" xfId="0" applyBorder="1"/>
    <xf numFmtId="0" fontId="0" fillId="2" borderId="1" xfId="0" applyFill="1" applyBorder="1" applyAlignment="1">
      <alignment horizontal="center" vertical="center"/>
    </xf>
    <xf numFmtId="8" fontId="0" fillId="2" borderId="1" xfId="0" applyNumberForma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164" fontId="0" fillId="0" borderId="0" xfId="0" applyNumberFormat="1"/>
    <xf numFmtId="14" fontId="0" fillId="2" borderId="0" xfId="0" applyNumberFormat="1" applyFill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3" xfId="0" applyFill="1" applyBorder="1"/>
    <xf numFmtId="164" fontId="0" fillId="2" borderId="3" xfId="0" applyNumberFormat="1" applyFill="1" applyBorder="1" applyAlignment="1">
      <alignment horizontal="center"/>
    </xf>
    <xf numFmtId="164" fontId="0" fillId="2" borderId="3" xfId="0" applyNumberFormat="1" applyFill="1" applyBorder="1"/>
    <xf numFmtId="14" fontId="0" fillId="2" borderId="1" xfId="0" applyNumberFormat="1" applyFill="1" applyBorder="1"/>
    <xf numFmtId="14" fontId="0" fillId="2" borderId="0" xfId="0" applyNumberFormat="1" applyFill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164" fontId="0" fillId="2" borderId="4" xfId="0" applyNumberFormat="1" applyFill="1" applyBorder="1" applyAlignment="1">
      <alignment horizontal="center"/>
    </xf>
    <xf numFmtId="14" fontId="0" fillId="3" borderId="1" xfId="0" applyNumberForma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164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/>
    <xf numFmtId="0" fontId="0" fillId="3" borderId="1" xfId="0" applyFill="1" applyBorder="1"/>
    <xf numFmtId="8" fontId="0" fillId="3" borderId="1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164" fontId="0" fillId="3" borderId="3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/>
    </xf>
    <xf numFmtId="4" fontId="0" fillId="3" borderId="1" xfId="0" applyNumberFormat="1" applyFill="1" applyBorder="1" applyAlignment="1">
      <alignment horizontal="center"/>
    </xf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4" fontId="0" fillId="4" borderId="1" xfId="0" applyNumberFormat="1" applyFill="1" applyBorder="1" applyAlignment="1">
      <alignment horizontal="center"/>
    </xf>
    <xf numFmtId="8" fontId="0" fillId="2" borderId="1" xfId="0" applyNumberFormat="1" applyFill="1" applyBorder="1"/>
    <xf numFmtId="8" fontId="0" fillId="2" borderId="1" xfId="0" applyNumberForma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0" fontId="0" fillId="2" borderId="0" xfId="0" applyFill="1"/>
    <xf numFmtId="165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2468D-7FAC-4B7E-ADA2-9A46FD668399}">
  <dimension ref="A1:L14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2" sqref="J2"/>
    </sheetView>
  </sheetViews>
  <sheetFormatPr baseColWidth="10" defaultColWidth="8.5703125" defaultRowHeight="15" x14ac:dyDescent="0.25"/>
  <cols>
    <col min="1" max="1" width="11.42578125" style="45" bestFit="1" customWidth="1"/>
    <col min="2" max="2" width="5.7109375" bestFit="1" customWidth="1"/>
    <col min="3" max="3" width="49.7109375" bestFit="1" customWidth="1"/>
    <col min="4" max="4" width="13" bestFit="1" customWidth="1"/>
    <col min="5" max="6" width="10.5703125" bestFit="1" customWidth="1"/>
    <col min="7" max="7" width="13.85546875" bestFit="1" customWidth="1"/>
    <col min="8" max="8" width="11.5703125" bestFit="1" customWidth="1"/>
    <col min="9" max="9" width="10.5703125" bestFit="1" customWidth="1"/>
    <col min="10" max="10" width="15" bestFit="1" customWidth="1"/>
    <col min="11" max="11" width="13.7109375" bestFit="1" customWidth="1"/>
    <col min="12" max="12" width="14.140625" bestFit="1" customWidth="1"/>
  </cols>
  <sheetData>
    <row r="1" spans="1:12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>
        <v>0.2</v>
      </c>
      <c r="J1" s="2" t="s">
        <v>8</v>
      </c>
      <c r="K1" s="2" t="s">
        <v>9</v>
      </c>
      <c r="L1" s="5" t="s">
        <v>10</v>
      </c>
    </row>
    <row r="2" spans="1:12" x14ac:dyDescent="0.25">
      <c r="A2" s="1">
        <v>46032</v>
      </c>
      <c r="B2" s="2">
        <v>1</v>
      </c>
      <c r="C2" s="6" t="s">
        <v>11</v>
      </c>
      <c r="D2" s="2" t="s">
        <v>12</v>
      </c>
      <c r="E2" s="3">
        <v>18201.099999999999</v>
      </c>
      <c r="F2" s="3"/>
      <c r="G2" s="3"/>
      <c r="H2" s="5">
        <f>E2*B2</f>
        <v>18201.099999999999</v>
      </c>
      <c r="I2" s="3">
        <f>E2*20%</f>
        <v>3640.22</v>
      </c>
      <c r="J2" s="3">
        <f>E2+I2</f>
        <v>21841.32</v>
      </c>
      <c r="K2" s="6" t="s">
        <v>13</v>
      </c>
      <c r="L2" s="7"/>
    </row>
    <row r="3" spans="1:12" x14ac:dyDescent="0.25">
      <c r="A3" s="1">
        <v>46032</v>
      </c>
      <c r="B3" s="2">
        <v>1</v>
      </c>
      <c r="C3" s="6" t="s">
        <v>14</v>
      </c>
      <c r="D3" s="2" t="s">
        <v>15</v>
      </c>
      <c r="E3" s="3">
        <v>25117.41</v>
      </c>
      <c r="F3" s="3"/>
      <c r="G3" s="3"/>
      <c r="H3" s="5">
        <f>E3*B3</f>
        <v>25117.41</v>
      </c>
      <c r="I3" s="3">
        <f>E3*20%</f>
        <v>5023.482</v>
      </c>
      <c r="J3" s="3">
        <f>E3+I3</f>
        <v>30140.892</v>
      </c>
      <c r="K3" s="6" t="s">
        <v>13</v>
      </c>
      <c r="L3" s="8"/>
    </row>
    <row r="4" spans="1:12" x14ac:dyDescent="0.25">
      <c r="A4" s="1">
        <v>46032</v>
      </c>
      <c r="B4" s="2">
        <v>1</v>
      </c>
      <c r="C4" s="6" t="s">
        <v>16</v>
      </c>
      <c r="D4" s="2" t="s">
        <v>17</v>
      </c>
      <c r="E4" s="3">
        <v>23125.11</v>
      </c>
      <c r="F4" s="3"/>
      <c r="G4" s="3"/>
      <c r="H4" s="5">
        <f>E4*B4</f>
        <v>23125.11</v>
      </c>
      <c r="I4" s="3">
        <f>E4*20%</f>
        <v>4625.0219999999999</v>
      </c>
      <c r="J4" s="3">
        <f>E4+I4</f>
        <v>27750.132000000001</v>
      </c>
      <c r="K4" s="6" t="s">
        <v>13</v>
      </c>
      <c r="L4" s="7"/>
    </row>
    <row r="5" spans="1:12" x14ac:dyDescent="0.25">
      <c r="A5" s="1">
        <v>46036</v>
      </c>
      <c r="B5" s="2">
        <v>1</v>
      </c>
      <c r="C5" s="6" t="s">
        <v>18</v>
      </c>
      <c r="D5" s="2" t="s">
        <v>17</v>
      </c>
      <c r="E5" s="3">
        <v>22592.880000000001</v>
      </c>
      <c r="F5" s="3"/>
      <c r="G5" s="3"/>
      <c r="H5" s="5">
        <f>E5*B5</f>
        <v>22592.880000000001</v>
      </c>
      <c r="I5" s="3">
        <f>E5*20%</f>
        <v>4518.576</v>
      </c>
      <c r="J5" s="3">
        <f>E5+I5</f>
        <v>27111.456000000002</v>
      </c>
      <c r="K5" s="6" t="s">
        <v>13</v>
      </c>
      <c r="L5" s="7"/>
    </row>
    <row r="6" spans="1:12" x14ac:dyDescent="0.25">
      <c r="A6" s="1">
        <v>46032</v>
      </c>
      <c r="B6" s="2">
        <v>1</v>
      </c>
      <c r="C6" s="6" t="s">
        <v>19</v>
      </c>
      <c r="D6" s="9" t="s">
        <v>20</v>
      </c>
      <c r="E6" s="3">
        <v>23967.66</v>
      </c>
      <c r="F6" s="3"/>
      <c r="G6" s="3"/>
      <c r="H6" s="5">
        <f>E6*B6</f>
        <v>23967.66</v>
      </c>
      <c r="I6" s="3">
        <f>E6*20%</f>
        <v>4793.5320000000002</v>
      </c>
      <c r="J6" s="3">
        <f>E6+I6</f>
        <v>28761.191999999999</v>
      </c>
      <c r="K6" s="6" t="s">
        <v>13</v>
      </c>
      <c r="L6" s="7"/>
    </row>
    <row r="7" spans="1:12" x14ac:dyDescent="0.25">
      <c r="A7" s="1">
        <v>46032</v>
      </c>
      <c r="B7" s="2">
        <v>1</v>
      </c>
      <c r="C7" s="6" t="s">
        <v>19</v>
      </c>
      <c r="D7" s="9" t="s">
        <v>15</v>
      </c>
      <c r="E7" s="3">
        <v>18201.099999999999</v>
      </c>
      <c r="F7" s="3"/>
      <c r="G7" s="3"/>
      <c r="H7" s="5">
        <f>E7*B7</f>
        <v>18201.099999999999</v>
      </c>
      <c r="I7" s="3">
        <f>E7*20%</f>
        <v>3640.22</v>
      </c>
      <c r="J7" s="3">
        <f>E7+I7</f>
        <v>21841.32</v>
      </c>
      <c r="K7" s="6" t="s">
        <v>13</v>
      </c>
      <c r="L7" s="7"/>
    </row>
    <row r="8" spans="1:12" x14ac:dyDescent="0.25">
      <c r="A8" s="1">
        <v>46032</v>
      </c>
      <c r="B8" s="2">
        <v>2</v>
      </c>
      <c r="C8" s="6" t="s">
        <v>21</v>
      </c>
      <c r="D8" s="10" t="s">
        <v>22</v>
      </c>
      <c r="E8" s="3">
        <v>11292.3</v>
      </c>
      <c r="F8" s="3"/>
      <c r="G8" s="3"/>
      <c r="H8" s="5">
        <f>E8*B8</f>
        <v>22584.6</v>
      </c>
      <c r="I8" s="3">
        <f>E8*20%</f>
        <v>2258.46</v>
      </c>
      <c r="J8" s="3">
        <f>E8+I8</f>
        <v>13550.759999999998</v>
      </c>
      <c r="K8" s="6" t="s">
        <v>13</v>
      </c>
      <c r="L8" s="7"/>
    </row>
    <row r="9" spans="1:12" x14ac:dyDescent="0.25">
      <c r="A9" s="1">
        <v>46032</v>
      </c>
      <c r="B9" s="2">
        <v>3</v>
      </c>
      <c r="C9" s="6" t="s">
        <v>21</v>
      </c>
      <c r="D9" s="2" t="s">
        <v>23</v>
      </c>
      <c r="E9" s="3">
        <v>16335.64</v>
      </c>
      <c r="F9" s="3"/>
      <c r="G9" s="3"/>
      <c r="H9" s="5">
        <f>E9*B9</f>
        <v>49006.92</v>
      </c>
      <c r="I9" s="3">
        <f>E9*20%</f>
        <v>3267.1280000000002</v>
      </c>
      <c r="J9" s="3">
        <f>E9+I9</f>
        <v>19602.768</v>
      </c>
      <c r="K9" s="6" t="s">
        <v>13</v>
      </c>
      <c r="L9" s="7"/>
    </row>
    <row r="10" spans="1:12" x14ac:dyDescent="0.25">
      <c r="A10" s="1">
        <v>46036</v>
      </c>
      <c r="B10" s="2">
        <v>2</v>
      </c>
      <c r="C10" s="6" t="s">
        <v>24</v>
      </c>
      <c r="D10" s="2"/>
      <c r="E10" s="3">
        <v>3017.74</v>
      </c>
      <c r="F10" s="3"/>
      <c r="G10" s="3"/>
      <c r="H10" s="5">
        <f>E10*B10</f>
        <v>6035.48</v>
      </c>
      <c r="I10" s="3">
        <f>E10*20%</f>
        <v>603.548</v>
      </c>
      <c r="J10" s="3">
        <v>3500</v>
      </c>
      <c r="K10" s="6" t="s">
        <v>13</v>
      </c>
      <c r="L10" s="7">
        <f>E10*21%</f>
        <v>633.72539999999992</v>
      </c>
    </row>
    <row r="11" spans="1:12" x14ac:dyDescent="0.25">
      <c r="A11" s="1">
        <v>46036</v>
      </c>
      <c r="B11" s="2">
        <v>10</v>
      </c>
      <c r="C11" s="6" t="s">
        <v>25</v>
      </c>
      <c r="D11" s="2"/>
      <c r="E11" s="3">
        <v>201.65</v>
      </c>
      <c r="F11" s="3"/>
      <c r="G11" s="3"/>
      <c r="H11" s="5">
        <f>E11*B11</f>
        <v>2016.5</v>
      </c>
      <c r="I11" s="3">
        <f>E11*25%</f>
        <v>50.412500000000001</v>
      </c>
      <c r="J11" s="3">
        <v>1000</v>
      </c>
      <c r="K11" s="6" t="s">
        <v>13</v>
      </c>
      <c r="L11" s="7">
        <f>E11*21%</f>
        <v>42.346499999999999</v>
      </c>
    </row>
    <row r="12" spans="1:12" x14ac:dyDescent="0.25">
      <c r="A12" s="1">
        <v>46036</v>
      </c>
      <c r="B12" s="2">
        <v>12</v>
      </c>
      <c r="C12" s="6" t="s">
        <v>26</v>
      </c>
      <c r="D12" s="2"/>
      <c r="E12" s="3">
        <v>1220</v>
      </c>
      <c r="F12" s="3"/>
      <c r="G12" s="3"/>
      <c r="H12" s="5">
        <f>E12*B12</f>
        <v>14640</v>
      </c>
      <c r="I12" s="3">
        <f>E12*25%</f>
        <v>305</v>
      </c>
      <c r="J12" s="3">
        <v>1800</v>
      </c>
      <c r="K12" s="6"/>
      <c r="L12" s="7"/>
    </row>
    <row r="13" spans="1:12" x14ac:dyDescent="0.25">
      <c r="A13" s="1">
        <v>46036</v>
      </c>
      <c r="B13" s="2">
        <v>12</v>
      </c>
      <c r="C13" s="6" t="s">
        <v>27</v>
      </c>
      <c r="D13" s="2"/>
      <c r="E13" s="3">
        <v>1210</v>
      </c>
      <c r="F13" s="3"/>
      <c r="G13" s="3"/>
      <c r="H13" s="5">
        <f>E13*B13</f>
        <v>14520</v>
      </c>
      <c r="I13" s="3">
        <f>E13*25%</f>
        <v>302.5</v>
      </c>
      <c r="J13" s="3">
        <v>1500</v>
      </c>
      <c r="K13" s="6"/>
      <c r="L13" s="7"/>
    </row>
    <row r="14" spans="1:12" x14ac:dyDescent="0.25">
      <c r="A14" s="1">
        <v>46036</v>
      </c>
      <c r="B14" s="2">
        <v>5</v>
      </c>
      <c r="C14" s="6" t="s">
        <v>28</v>
      </c>
      <c r="D14" s="2"/>
      <c r="E14" s="3">
        <v>8315.94</v>
      </c>
      <c r="F14" s="3"/>
      <c r="G14" s="3"/>
      <c r="H14" s="5">
        <f>E14*B14</f>
        <v>41579.700000000004</v>
      </c>
      <c r="I14" s="3">
        <f>E14*25%</f>
        <v>2078.9850000000001</v>
      </c>
      <c r="J14" s="3">
        <f>E14+I14</f>
        <v>10394.925000000001</v>
      </c>
      <c r="K14" s="6"/>
      <c r="L14" s="7">
        <f>E14*21%</f>
        <v>1746.3474000000001</v>
      </c>
    </row>
    <row r="15" spans="1:12" x14ac:dyDescent="0.25">
      <c r="A15" s="1">
        <v>46036</v>
      </c>
      <c r="B15" s="2">
        <v>5</v>
      </c>
      <c r="C15" s="6" t="s">
        <v>29</v>
      </c>
      <c r="D15" s="2"/>
      <c r="E15" s="3">
        <v>2328.5100000000002</v>
      </c>
      <c r="F15" s="3"/>
      <c r="G15" s="3"/>
      <c r="H15" s="5">
        <f>E15*B15</f>
        <v>11642.550000000001</v>
      </c>
      <c r="I15" s="3">
        <f>E15*25%</f>
        <v>582.12750000000005</v>
      </c>
      <c r="J15" s="3">
        <v>3500</v>
      </c>
      <c r="K15" s="6"/>
      <c r="L15" s="7">
        <f>E15*21%</f>
        <v>488.98710000000005</v>
      </c>
    </row>
    <row r="16" spans="1:12" x14ac:dyDescent="0.25">
      <c r="A16" s="1">
        <v>46032</v>
      </c>
      <c r="B16" s="2">
        <v>1</v>
      </c>
      <c r="C16" s="6" t="s">
        <v>30</v>
      </c>
      <c r="D16" s="2" t="s">
        <v>31</v>
      </c>
      <c r="E16" s="3">
        <v>11800</v>
      </c>
      <c r="F16" s="3"/>
      <c r="G16" s="3"/>
      <c r="H16" s="5">
        <f>E16*B16</f>
        <v>11800</v>
      </c>
      <c r="I16" s="3">
        <f>E16*25%</f>
        <v>2950</v>
      </c>
      <c r="J16" s="3">
        <f>E16+I16</f>
        <v>14750</v>
      </c>
      <c r="K16" s="6" t="s">
        <v>13</v>
      </c>
      <c r="L16" s="11"/>
    </row>
    <row r="17" spans="1:12" x14ac:dyDescent="0.25">
      <c r="A17" s="1">
        <v>46030</v>
      </c>
      <c r="B17" s="2">
        <v>1</v>
      </c>
      <c r="C17" s="6" t="s">
        <v>32</v>
      </c>
      <c r="D17" s="2" t="s">
        <v>33</v>
      </c>
      <c r="E17" s="3">
        <v>38993.47</v>
      </c>
      <c r="F17" s="3"/>
      <c r="G17" s="3"/>
      <c r="H17" s="5">
        <f>E17*B17</f>
        <v>38993.47</v>
      </c>
      <c r="I17" s="3">
        <f>E17*25%</f>
        <v>9748.3675000000003</v>
      </c>
      <c r="J17" s="3">
        <f>E17+I17</f>
        <v>48741.837500000001</v>
      </c>
      <c r="K17" s="6" t="s">
        <v>34</v>
      </c>
      <c r="L17" s="11"/>
    </row>
    <row r="18" spans="1:12" x14ac:dyDescent="0.25">
      <c r="A18" s="1">
        <v>46030</v>
      </c>
      <c r="B18" s="2">
        <v>1</v>
      </c>
      <c r="C18" s="6" t="s">
        <v>35</v>
      </c>
      <c r="D18" s="2" t="s">
        <v>33</v>
      </c>
      <c r="E18" s="3">
        <v>38993.47</v>
      </c>
      <c r="F18" s="3"/>
      <c r="G18" s="3"/>
      <c r="H18" s="5">
        <f>E18*B18</f>
        <v>38993.47</v>
      </c>
      <c r="I18" s="3">
        <f>E18*25%</f>
        <v>9748.3675000000003</v>
      </c>
      <c r="J18" s="3">
        <f>E18+I18</f>
        <v>48741.837500000001</v>
      </c>
      <c r="K18" s="6" t="s">
        <v>34</v>
      </c>
      <c r="L18" s="11"/>
    </row>
    <row r="19" spans="1:12" x14ac:dyDescent="0.25">
      <c r="A19" s="1">
        <v>46030</v>
      </c>
      <c r="B19" s="2">
        <v>1</v>
      </c>
      <c r="C19" s="2" t="s">
        <v>36</v>
      </c>
      <c r="D19" s="2" t="s">
        <v>37</v>
      </c>
      <c r="E19" s="3">
        <v>30537.96</v>
      </c>
      <c r="F19" s="3"/>
      <c r="G19" s="3"/>
      <c r="H19" s="3">
        <f>E19*B19</f>
        <v>30537.96</v>
      </c>
      <c r="I19" s="3">
        <f>E19*20%</f>
        <v>6107.5920000000006</v>
      </c>
      <c r="J19" s="3">
        <f>E19+I19</f>
        <v>36645.551999999996</v>
      </c>
      <c r="K19" s="2" t="s">
        <v>34</v>
      </c>
      <c r="L19" s="12">
        <v>38500</v>
      </c>
    </row>
    <row r="20" spans="1:12" x14ac:dyDescent="0.25">
      <c r="A20" s="1">
        <v>46030</v>
      </c>
      <c r="B20" s="2">
        <v>1</v>
      </c>
      <c r="C20" s="6" t="s">
        <v>38</v>
      </c>
      <c r="D20" s="3" t="s">
        <v>39</v>
      </c>
      <c r="E20" s="3">
        <v>21014</v>
      </c>
      <c r="F20" s="3"/>
      <c r="G20" s="3"/>
      <c r="H20" s="5">
        <f>E20*B20</f>
        <v>21014</v>
      </c>
      <c r="I20" s="3">
        <f>E20*25%</f>
        <v>5253.5</v>
      </c>
      <c r="J20" s="3">
        <f>E20+I20</f>
        <v>26267.5</v>
      </c>
      <c r="K20" s="6" t="s">
        <v>40</v>
      </c>
      <c r="L20" s="11"/>
    </row>
    <row r="21" spans="1:12" x14ac:dyDescent="0.25">
      <c r="A21" s="1">
        <v>46030</v>
      </c>
      <c r="B21" s="2">
        <v>1</v>
      </c>
      <c r="C21" s="6" t="s">
        <v>41</v>
      </c>
      <c r="D21" s="3" t="s">
        <v>39</v>
      </c>
      <c r="E21" s="3">
        <v>20943</v>
      </c>
      <c r="F21" s="3"/>
      <c r="G21" s="3"/>
      <c r="H21" s="5">
        <f>E21*B21</f>
        <v>20943</v>
      </c>
      <c r="I21" s="3">
        <f>E21*25%</f>
        <v>5235.75</v>
      </c>
      <c r="J21" s="3">
        <f>E21+I21</f>
        <v>26178.75</v>
      </c>
      <c r="K21" s="6" t="s">
        <v>40</v>
      </c>
      <c r="L21" s="11"/>
    </row>
    <row r="22" spans="1:12" x14ac:dyDescent="0.25">
      <c r="A22" s="1">
        <v>46030</v>
      </c>
      <c r="B22" s="2">
        <v>1</v>
      </c>
      <c r="C22" s="6" t="s">
        <v>42</v>
      </c>
      <c r="D22" s="3" t="s">
        <v>43</v>
      </c>
      <c r="E22" s="3">
        <v>13500</v>
      </c>
      <c r="F22" s="3"/>
      <c r="G22" s="3"/>
      <c r="H22" s="5">
        <f>E22*B22</f>
        <v>13500</v>
      </c>
      <c r="I22" s="3">
        <f>E22*25%</f>
        <v>3375</v>
      </c>
      <c r="J22" s="3">
        <f>E22+I22</f>
        <v>16875</v>
      </c>
      <c r="K22" s="6" t="s">
        <v>40</v>
      </c>
      <c r="L22" s="11"/>
    </row>
    <row r="23" spans="1:12" x14ac:dyDescent="0.25">
      <c r="A23" s="1">
        <v>46030</v>
      </c>
      <c r="B23" s="2">
        <v>1</v>
      </c>
      <c r="C23" s="6" t="s">
        <v>44</v>
      </c>
      <c r="D23" s="3" t="s">
        <v>43</v>
      </c>
      <c r="E23" s="3">
        <v>19500</v>
      </c>
      <c r="F23" s="3"/>
      <c r="G23" s="3"/>
      <c r="H23" s="5">
        <f>E23*B23</f>
        <v>19500</v>
      </c>
      <c r="I23" s="3">
        <f>E23*25%</f>
        <v>4875</v>
      </c>
      <c r="J23" s="3">
        <f>E23+I23</f>
        <v>24375</v>
      </c>
      <c r="K23" s="6" t="s">
        <v>40</v>
      </c>
      <c r="L23" s="11"/>
    </row>
    <row r="24" spans="1:12" x14ac:dyDescent="0.25">
      <c r="A24" s="1">
        <v>46030</v>
      </c>
      <c r="B24" s="2">
        <v>1</v>
      </c>
      <c r="C24" s="6" t="s">
        <v>45</v>
      </c>
      <c r="D24" s="3" t="s">
        <v>46</v>
      </c>
      <c r="E24" s="3">
        <v>47420</v>
      </c>
      <c r="F24" s="3"/>
      <c r="G24" s="3"/>
      <c r="H24" s="5">
        <f>E24*B24</f>
        <v>47420</v>
      </c>
      <c r="I24" s="3">
        <f>E24*25%</f>
        <v>11855</v>
      </c>
      <c r="J24" s="3">
        <f>E24+I24</f>
        <v>59275</v>
      </c>
      <c r="K24" s="6" t="s">
        <v>40</v>
      </c>
      <c r="L24" s="11"/>
    </row>
    <row r="25" spans="1:12" x14ac:dyDescent="0.25">
      <c r="A25" s="1">
        <v>46030</v>
      </c>
      <c r="B25" s="2">
        <v>1</v>
      </c>
      <c r="C25" s="6" t="s">
        <v>47</v>
      </c>
      <c r="D25" s="3" t="s">
        <v>15</v>
      </c>
      <c r="E25" s="3">
        <v>35211</v>
      </c>
      <c r="F25" s="3"/>
      <c r="G25" s="3"/>
      <c r="H25" s="5">
        <f>E25*B25</f>
        <v>35211</v>
      </c>
      <c r="I25" s="3">
        <f>E25*25%</f>
        <v>8802.75</v>
      </c>
      <c r="J25" s="3">
        <f>E25+I25</f>
        <v>44013.75</v>
      </c>
      <c r="K25" s="6" t="s">
        <v>40</v>
      </c>
      <c r="L25" s="11"/>
    </row>
    <row r="26" spans="1:12" x14ac:dyDescent="0.25">
      <c r="A26" s="1">
        <v>46030</v>
      </c>
      <c r="B26" s="2">
        <v>2</v>
      </c>
      <c r="C26" s="6" t="s">
        <v>48</v>
      </c>
      <c r="D26" s="3" t="s">
        <v>49</v>
      </c>
      <c r="E26" s="3">
        <v>7010</v>
      </c>
      <c r="F26" s="3"/>
      <c r="G26" s="3"/>
      <c r="H26" s="5">
        <f>E26*B26</f>
        <v>14020</v>
      </c>
      <c r="I26" s="3"/>
      <c r="J26" s="2"/>
      <c r="K26" s="6" t="s">
        <v>40</v>
      </c>
      <c r="L26" s="11"/>
    </row>
    <row r="27" spans="1:12" x14ac:dyDescent="0.25">
      <c r="A27" s="1">
        <v>46030</v>
      </c>
      <c r="B27" s="2">
        <v>2</v>
      </c>
      <c r="C27" s="6" t="s">
        <v>50</v>
      </c>
      <c r="D27" s="3" t="s">
        <v>49</v>
      </c>
      <c r="E27" s="3">
        <v>7308</v>
      </c>
      <c r="F27" s="3"/>
      <c r="G27" s="3"/>
      <c r="H27" s="5">
        <f>E27*B27</f>
        <v>14616</v>
      </c>
      <c r="I27" s="3"/>
      <c r="J27" s="2"/>
      <c r="K27" s="6" t="s">
        <v>40</v>
      </c>
      <c r="L27" s="11"/>
    </row>
    <row r="28" spans="1:12" x14ac:dyDescent="0.25">
      <c r="A28" s="1">
        <v>46030</v>
      </c>
      <c r="B28" s="2">
        <v>5</v>
      </c>
      <c r="C28" s="6" t="s">
        <v>51</v>
      </c>
      <c r="D28" s="2" t="s">
        <v>52</v>
      </c>
      <c r="E28" s="3">
        <v>3187</v>
      </c>
      <c r="F28" s="3"/>
      <c r="G28" s="3"/>
      <c r="H28" s="5">
        <f>E28*B28</f>
        <v>15935</v>
      </c>
      <c r="I28" s="3"/>
      <c r="J28" s="2"/>
      <c r="K28" s="6" t="s">
        <v>40</v>
      </c>
    </row>
    <row r="29" spans="1:12" x14ac:dyDescent="0.25">
      <c r="A29" s="1">
        <v>46030</v>
      </c>
      <c r="B29" s="2">
        <v>5</v>
      </c>
      <c r="C29" s="6" t="s">
        <v>53</v>
      </c>
      <c r="D29" s="2" t="s">
        <v>52</v>
      </c>
      <c r="E29" s="3">
        <v>3187</v>
      </c>
      <c r="F29" s="3"/>
      <c r="G29" s="3"/>
      <c r="H29" s="5">
        <f>E29*B29</f>
        <v>15935</v>
      </c>
      <c r="I29" s="3"/>
      <c r="J29" s="2"/>
      <c r="K29" s="6" t="s">
        <v>40</v>
      </c>
    </row>
    <row r="30" spans="1:12" x14ac:dyDescent="0.25">
      <c r="A30" s="1">
        <v>46030</v>
      </c>
      <c r="B30" s="2">
        <v>2</v>
      </c>
      <c r="C30" s="6" t="s">
        <v>54</v>
      </c>
      <c r="D30" s="6"/>
      <c r="E30" s="3">
        <v>1540</v>
      </c>
      <c r="F30" s="3"/>
      <c r="G30" s="3"/>
      <c r="H30" s="5">
        <f>E30*B30</f>
        <v>3080</v>
      </c>
      <c r="I30" s="2"/>
      <c r="J30" s="2"/>
      <c r="K30" s="6" t="s">
        <v>55</v>
      </c>
      <c r="L30" s="13">
        <f>E30*21%</f>
        <v>323.39999999999998</v>
      </c>
    </row>
    <row r="31" spans="1:12" x14ac:dyDescent="0.25">
      <c r="A31" s="1">
        <v>46030</v>
      </c>
      <c r="B31" s="2">
        <v>2</v>
      </c>
      <c r="C31" s="6" t="s">
        <v>56</v>
      </c>
      <c r="D31" s="6"/>
      <c r="E31" s="3">
        <v>2758</v>
      </c>
      <c r="F31" s="3"/>
      <c r="G31" s="3"/>
      <c r="H31" s="5">
        <f>E31*B31</f>
        <v>5516</v>
      </c>
      <c r="I31" s="2"/>
      <c r="J31" s="2"/>
      <c r="K31" s="6" t="s">
        <v>55</v>
      </c>
      <c r="L31" s="13">
        <f>E31*21%</f>
        <v>579.17999999999995</v>
      </c>
    </row>
    <row r="32" spans="1:12" x14ac:dyDescent="0.25">
      <c r="A32" s="1">
        <v>46030</v>
      </c>
      <c r="B32" s="2">
        <v>2</v>
      </c>
      <c r="C32" s="6" t="s">
        <v>57</v>
      </c>
      <c r="D32" s="6"/>
      <c r="E32" s="3">
        <v>3220</v>
      </c>
      <c r="F32" s="3"/>
      <c r="G32" s="3"/>
      <c r="H32" s="5">
        <f>E32*B32</f>
        <v>6440</v>
      </c>
      <c r="I32" s="2"/>
      <c r="J32" s="2"/>
      <c r="K32" s="6" t="s">
        <v>55</v>
      </c>
      <c r="L32" s="13">
        <f>E32*21%</f>
        <v>676.19999999999993</v>
      </c>
    </row>
    <row r="33" spans="1:12" x14ac:dyDescent="0.25">
      <c r="A33" s="1">
        <v>46030</v>
      </c>
      <c r="B33" s="2">
        <v>2</v>
      </c>
      <c r="C33" s="6" t="s">
        <v>58</v>
      </c>
      <c r="D33" s="6"/>
      <c r="E33" s="3">
        <v>4480</v>
      </c>
      <c r="F33" s="3"/>
      <c r="G33" s="3"/>
      <c r="H33" s="5">
        <f>E33*B33</f>
        <v>8960</v>
      </c>
      <c r="I33" s="2"/>
      <c r="J33" s="2"/>
      <c r="K33" s="6" t="s">
        <v>55</v>
      </c>
      <c r="L33" s="13">
        <f>E33*21%</f>
        <v>940.8</v>
      </c>
    </row>
    <row r="34" spans="1:12" x14ac:dyDescent="0.25">
      <c r="A34" s="1">
        <v>46030</v>
      </c>
      <c r="B34" s="2">
        <v>2</v>
      </c>
      <c r="C34" s="6" t="s">
        <v>59</v>
      </c>
      <c r="D34" s="6"/>
      <c r="E34" s="3">
        <v>9156</v>
      </c>
      <c r="F34" s="3"/>
      <c r="G34" s="3"/>
      <c r="H34" s="5">
        <f>E34*B34</f>
        <v>18312</v>
      </c>
      <c r="I34" s="2"/>
      <c r="J34" s="2"/>
      <c r="K34" s="6" t="s">
        <v>55</v>
      </c>
      <c r="L34" s="13">
        <f>E34*21%</f>
        <v>1922.76</v>
      </c>
    </row>
    <row r="35" spans="1:12" x14ac:dyDescent="0.25">
      <c r="A35" s="1">
        <v>46030</v>
      </c>
      <c r="B35" s="2">
        <v>4</v>
      </c>
      <c r="C35" s="6" t="s">
        <v>60</v>
      </c>
      <c r="D35" s="6"/>
      <c r="E35" s="3">
        <v>4872.78</v>
      </c>
      <c r="F35" s="3"/>
      <c r="G35" s="3"/>
      <c r="H35" s="5">
        <f>E35*B35</f>
        <v>19491.12</v>
      </c>
      <c r="I35" s="2"/>
      <c r="J35" s="2"/>
      <c r="K35" s="6" t="s">
        <v>55</v>
      </c>
      <c r="L35" s="13">
        <f>E35*21%</f>
        <v>1023.2837999999999</v>
      </c>
    </row>
    <row r="36" spans="1:12" x14ac:dyDescent="0.25">
      <c r="A36" s="1">
        <v>46030</v>
      </c>
      <c r="B36" s="2">
        <v>2</v>
      </c>
      <c r="C36" s="6" t="s">
        <v>61</v>
      </c>
      <c r="D36" s="6"/>
      <c r="E36" s="3">
        <v>3513.22</v>
      </c>
      <c r="F36" s="3"/>
      <c r="G36" s="3"/>
      <c r="H36" s="5">
        <f>E36*B36</f>
        <v>7026.44</v>
      </c>
      <c r="I36" s="2"/>
      <c r="J36" s="2"/>
      <c r="K36" s="6" t="s">
        <v>55</v>
      </c>
      <c r="L36" s="13">
        <f>E36*21%</f>
        <v>737.7761999999999</v>
      </c>
    </row>
    <row r="37" spans="1:12" x14ac:dyDescent="0.25">
      <c r="A37" s="1">
        <v>46030</v>
      </c>
      <c r="B37" s="2">
        <v>2</v>
      </c>
      <c r="C37" s="6" t="s">
        <v>62</v>
      </c>
      <c r="D37" s="6"/>
      <c r="E37" s="3">
        <v>6055.37</v>
      </c>
      <c r="F37" s="3"/>
      <c r="G37" s="3"/>
      <c r="H37" s="5">
        <f>E37*B37</f>
        <v>12110.74</v>
      </c>
      <c r="I37" s="2"/>
      <c r="J37" s="2"/>
      <c r="K37" s="6" t="s">
        <v>55</v>
      </c>
      <c r="L37" s="13">
        <f>E37*21%</f>
        <v>1271.6277</v>
      </c>
    </row>
    <row r="38" spans="1:12" x14ac:dyDescent="0.25">
      <c r="A38" s="1">
        <v>46030</v>
      </c>
      <c r="B38" s="2">
        <v>2</v>
      </c>
      <c r="C38" s="6" t="s">
        <v>63</v>
      </c>
      <c r="D38" s="6"/>
      <c r="E38" s="3">
        <v>3279.12</v>
      </c>
      <c r="F38" s="3"/>
      <c r="G38" s="3"/>
      <c r="H38" s="5">
        <f>E38*B38</f>
        <v>6558.24</v>
      </c>
      <c r="I38" s="2"/>
      <c r="J38" s="2"/>
      <c r="K38" s="6" t="s">
        <v>55</v>
      </c>
      <c r="L38" s="13">
        <f>E38*21%</f>
        <v>688.61519999999996</v>
      </c>
    </row>
    <row r="39" spans="1:12" x14ac:dyDescent="0.25">
      <c r="A39" s="1">
        <v>46039</v>
      </c>
      <c r="B39" s="2">
        <v>2</v>
      </c>
      <c r="C39" s="6" t="s">
        <v>64</v>
      </c>
      <c r="D39" s="6"/>
      <c r="E39" s="3">
        <v>8222.52</v>
      </c>
      <c r="F39" s="3"/>
      <c r="G39" s="3"/>
      <c r="H39" s="5">
        <f>E39*B39</f>
        <v>16445.04</v>
      </c>
      <c r="I39" s="2"/>
      <c r="J39" s="2"/>
      <c r="K39" s="6" t="s">
        <v>55</v>
      </c>
      <c r="L39" s="13">
        <f>E39*21%</f>
        <v>1726.7292</v>
      </c>
    </row>
    <row r="40" spans="1:12" x14ac:dyDescent="0.25">
      <c r="A40" s="14">
        <v>46039</v>
      </c>
      <c r="B40" s="2">
        <v>7</v>
      </c>
      <c r="C40" s="6" t="s">
        <v>65</v>
      </c>
      <c r="D40" s="6"/>
      <c r="E40" s="3">
        <v>16000</v>
      </c>
      <c r="F40" s="3"/>
      <c r="G40" s="3"/>
      <c r="H40" s="5">
        <f>E40*B40</f>
        <v>112000</v>
      </c>
      <c r="I40" s="2"/>
      <c r="J40" s="3"/>
      <c r="K40" s="6" t="s">
        <v>66</v>
      </c>
      <c r="L40" s="13">
        <f>E40*20%</f>
        <v>3200</v>
      </c>
    </row>
    <row r="41" spans="1:12" x14ac:dyDescent="0.25">
      <c r="A41" s="14">
        <v>46039</v>
      </c>
      <c r="B41" s="15">
        <v>3</v>
      </c>
      <c r="C41" s="16" t="s">
        <v>67</v>
      </c>
      <c r="D41" s="16"/>
      <c r="E41" s="17">
        <v>17400</v>
      </c>
      <c r="F41" s="17"/>
      <c r="G41" s="17"/>
      <c r="H41" s="18">
        <f>E41*B41</f>
        <v>52200</v>
      </c>
      <c r="I41" s="15"/>
      <c r="J41" s="17"/>
      <c r="K41" s="16" t="s">
        <v>66</v>
      </c>
      <c r="L41" s="13">
        <f>E41*20%</f>
        <v>3480</v>
      </c>
    </row>
    <row r="42" spans="1:12" x14ac:dyDescent="0.25">
      <c r="A42" s="14">
        <v>46052</v>
      </c>
      <c r="B42" s="2">
        <v>1</v>
      </c>
      <c r="C42" s="6" t="s">
        <v>68</v>
      </c>
      <c r="D42" s="16"/>
      <c r="E42" s="17">
        <v>39000</v>
      </c>
      <c r="F42" s="17"/>
      <c r="G42" s="17"/>
      <c r="H42" s="18">
        <f>E42*B42</f>
        <v>39000</v>
      </c>
      <c r="I42" s="15"/>
      <c r="J42" s="17"/>
      <c r="K42" s="16" t="s">
        <v>69</v>
      </c>
      <c r="L42" s="13"/>
    </row>
    <row r="43" spans="1:12" x14ac:dyDescent="0.25">
      <c r="A43" s="14">
        <v>46052</v>
      </c>
      <c r="B43" s="2">
        <v>1</v>
      </c>
      <c r="C43" s="6" t="s">
        <v>70</v>
      </c>
      <c r="D43" s="16"/>
      <c r="E43" s="17">
        <v>48500</v>
      </c>
      <c r="F43" s="17"/>
      <c r="G43" s="17"/>
      <c r="H43" s="18">
        <f>E43*B43</f>
        <v>48500</v>
      </c>
      <c r="I43" s="15"/>
      <c r="J43" s="17"/>
      <c r="K43" s="16" t="s">
        <v>69</v>
      </c>
      <c r="L43" s="13"/>
    </row>
    <row r="44" spans="1:12" x14ac:dyDescent="0.25">
      <c r="A44" s="19">
        <v>46048</v>
      </c>
      <c r="B44" s="2">
        <v>1</v>
      </c>
      <c r="C44" s="6" t="s">
        <v>32</v>
      </c>
      <c r="D44" s="6"/>
      <c r="E44" s="3">
        <v>35094.129999999997</v>
      </c>
      <c r="F44" s="3"/>
      <c r="G44" s="3"/>
      <c r="H44" s="5">
        <f>E44*B44</f>
        <v>35094.129999999997</v>
      </c>
      <c r="I44" s="3">
        <f>E44*20%</f>
        <v>7018.826</v>
      </c>
      <c r="J44" s="3">
        <f>E44+I44</f>
        <v>42112.955999999998</v>
      </c>
      <c r="K44" s="6" t="s">
        <v>34</v>
      </c>
    </row>
    <row r="45" spans="1:12" x14ac:dyDescent="0.25">
      <c r="A45" s="19">
        <v>46048</v>
      </c>
      <c r="B45" s="2">
        <v>2</v>
      </c>
      <c r="C45" s="6" t="s">
        <v>71</v>
      </c>
      <c r="D45" s="6"/>
      <c r="E45" s="3">
        <v>13499</v>
      </c>
      <c r="F45" s="3"/>
      <c r="G45" s="3"/>
      <c r="H45" s="5">
        <f>E45*B45</f>
        <v>26998</v>
      </c>
      <c r="I45" s="3">
        <f>E45*20%</f>
        <v>2699.8</v>
      </c>
      <c r="J45" s="3">
        <f>E45+I45</f>
        <v>16198.8</v>
      </c>
      <c r="K45" s="6" t="s">
        <v>34</v>
      </c>
    </row>
    <row r="46" spans="1:12" x14ac:dyDescent="0.25">
      <c r="A46" s="19">
        <v>46048</v>
      </c>
      <c r="B46" s="2">
        <v>2</v>
      </c>
      <c r="C46" s="6" t="s">
        <v>72</v>
      </c>
      <c r="D46" s="6"/>
      <c r="E46" s="3">
        <v>17100</v>
      </c>
      <c r="F46" s="3"/>
      <c r="G46" s="3"/>
      <c r="H46" s="5">
        <f>E46*B46</f>
        <v>34200</v>
      </c>
      <c r="I46" s="3">
        <f>E46*20%</f>
        <v>3420</v>
      </c>
      <c r="J46" s="3">
        <f>E46+I46</f>
        <v>20520</v>
      </c>
      <c r="K46" s="6" t="s">
        <v>34</v>
      </c>
    </row>
    <row r="47" spans="1:12" x14ac:dyDescent="0.25">
      <c r="A47" s="19">
        <v>46048</v>
      </c>
      <c r="B47" s="2">
        <v>1</v>
      </c>
      <c r="C47" s="6" t="s">
        <v>73</v>
      </c>
      <c r="D47" s="6"/>
      <c r="E47" s="3">
        <v>35094.129999999997</v>
      </c>
      <c r="F47" s="3"/>
      <c r="G47" s="3"/>
      <c r="H47" s="5">
        <f>E47*B47</f>
        <v>35094.129999999997</v>
      </c>
      <c r="I47" s="3">
        <f>E47*20%</f>
        <v>7018.826</v>
      </c>
      <c r="J47" s="3">
        <f>E47+I47</f>
        <v>42112.955999999998</v>
      </c>
      <c r="K47" s="6" t="s">
        <v>34</v>
      </c>
    </row>
    <row r="48" spans="1:12" x14ac:dyDescent="0.25">
      <c r="A48" s="19">
        <v>46048</v>
      </c>
      <c r="B48" s="2">
        <v>2</v>
      </c>
      <c r="C48" s="6" t="s">
        <v>71</v>
      </c>
      <c r="D48" s="6"/>
      <c r="E48" s="3">
        <v>13499</v>
      </c>
      <c r="F48" s="3"/>
      <c r="G48" s="3"/>
      <c r="H48" s="5">
        <f>E48*B48</f>
        <v>26998</v>
      </c>
      <c r="I48" s="3">
        <f>E48*20%</f>
        <v>2699.8</v>
      </c>
      <c r="J48" s="3">
        <f>E48+I48</f>
        <v>16198.8</v>
      </c>
      <c r="K48" s="6" t="s">
        <v>34</v>
      </c>
    </row>
    <row r="49" spans="1:11" x14ac:dyDescent="0.25">
      <c r="A49" s="19">
        <v>46048</v>
      </c>
      <c r="B49" s="2">
        <v>2</v>
      </c>
      <c r="C49" s="6" t="s">
        <v>72</v>
      </c>
      <c r="D49" s="6"/>
      <c r="E49" s="3">
        <v>17100</v>
      </c>
      <c r="F49" s="3"/>
      <c r="G49" s="3"/>
      <c r="H49" s="5">
        <f>E49*B49</f>
        <v>34200</v>
      </c>
      <c r="I49" s="3">
        <f>E49*20%</f>
        <v>3420</v>
      </c>
      <c r="J49" s="3">
        <f>E49+I49</f>
        <v>20520</v>
      </c>
      <c r="K49" s="6" t="s">
        <v>34</v>
      </c>
    </row>
    <row r="50" spans="1:11" x14ac:dyDescent="0.25">
      <c r="A50" s="20">
        <v>46048</v>
      </c>
      <c r="B50" s="21">
        <v>1</v>
      </c>
      <c r="C50" s="22" t="s">
        <v>74</v>
      </c>
      <c r="D50" s="22"/>
      <c r="E50" s="23">
        <v>35809.97</v>
      </c>
      <c r="F50" s="23"/>
      <c r="G50" s="23"/>
      <c r="H50" s="5">
        <f>E50*B50</f>
        <v>35809.97</v>
      </c>
      <c r="I50" s="21"/>
      <c r="J50" s="21"/>
      <c r="K50" s="22" t="s">
        <v>34</v>
      </c>
    </row>
    <row r="51" spans="1:11" x14ac:dyDescent="0.25">
      <c r="A51" s="1" t="s">
        <v>0</v>
      </c>
      <c r="B51" s="2" t="s">
        <v>1</v>
      </c>
      <c r="C51" s="2" t="s">
        <v>2</v>
      </c>
      <c r="D51" s="2" t="s">
        <v>3</v>
      </c>
      <c r="E51" s="3" t="s">
        <v>4</v>
      </c>
      <c r="F51" s="3" t="s">
        <v>5</v>
      </c>
      <c r="G51" s="3"/>
      <c r="H51" s="3" t="s">
        <v>7</v>
      </c>
      <c r="I51" s="4">
        <v>0.2</v>
      </c>
      <c r="J51" s="2" t="s">
        <v>8</v>
      </c>
      <c r="K51" s="2" t="s">
        <v>9</v>
      </c>
    </row>
    <row r="52" spans="1:11" x14ac:dyDescent="0.25">
      <c r="A52" s="24">
        <v>46062</v>
      </c>
      <c r="B52" s="25">
        <v>2</v>
      </c>
      <c r="C52" s="26" t="s">
        <v>75</v>
      </c>
      <c r="D52" s="25" t="s">
        <v>23</v>
      </c>
      <c r="E52" s="27">
        <v>17360</v>
      </c>
      <c r="F52" s="27"/>
      <c r="G52" s="27"/>
      <c r="H52" s="28">
        <f>E52*B52</f>
        <v>34720</v>
      </c>
      <c r="I52" s="27">
        <f>E52*15%</f>
        <v>2604</v>
      </c>
      <c r="J52" s="27">
        <v>20000</v>
      </c>
      <c r="K52" s="25" t="s">
        <v>40</v>
      </c>
    </row>
    <row r="53" spans="1:11" x14ac:dyDescent="0.25">
      <c r="A53" s="24">
        <v>46062</v>
      </c>
      <c r="B53" s="25">
        <v>2</v>
      </c>
      <c r="C53" s="26" t="s">
        <v>76</v>
      </c>
      <c r="D53" s="25" t="s">
        <v>33</v>
      </c>
      <c r="E53" s="27">
        <v>12402</v>
      </c>
      <c r="F53" s="27"/>
      <c r="G53" s="27"/>
      <c r="H53" s="28">
        <f>E53*B53</f>
        <v>24804</v>
      </c>
      <c r="I53" s="27">
        <v>4000</v>
      </c>
      <c r="J53" s="27">
        <v>16000</v>
      </c>
      <c r="K53" s="25" t="s">
        <v>40</v>
      </c>
    </row>
    <row r="54" spans="1:11" x14ac:dyDescent="0.25">
      <c r="A54" s="24">
        <v>46062</v>
      </c>
      <c r="B54" s="25">
        <v>1</v>
      </c>
      <c r="C54" s="26" t="s">
        <v>77</v>
      </c>
      <c r="D54" s="25" t="s">
        <v>78</v>
      </c>
      <c r="E54" s="27">
        <v>23515</v>
      </c>
      <c r="F54" s="27"/>
      <c r="G54" s="27"/>
      <c r="H54" s="28">
        <f>E54*B54</f>
        <v>23515</v>
      </c>
      <c r="I54" s="27">
        <f>E54*15%</f>
        <v>3527.25</v>
      </c>
      <c r="J54" s="27">
        <f>E54+I54</f>
        <v>27042.25</v>
      </c>
      <c r="K54" s="25" t="s">
        <v>40</v>
      </c>
    </row>
    <row r="55" spans="1:11" x14ac:dyDescent="0.25">
      <c r="A55" s="24">
        <v>46062</v>
      </c>
      <c r="B55" s="25">
        <v>1</v>
      </c>
      <c r="C55" s="26" t="s">
        <v>79</v>
      </c>
      <c r="D55" s="25" t="s">
        <v>80</v>
      </c>
      <c r="E55" s="27">
        <v>24941</v>
      </c>
      <c r="F55" s="27"/>
      <c r="G55" s="27"/>
      <c r="H55" s="28">
        <f>E55*B55</f>
        <v>24941</v>
      </c>
      <c r="I55" s="27">
        <v>4000</v>
      </c>
      <c r="J55" s="27">
        <f>E55+I55</f>
        <v>28941</v>
      </c>
      <c r="K55" s="25" t="s">
        <v>40</v>
      </c>
    </row>
    <row r="56" spans="1:11" x14ac:dyDescent="0.25">
      <c r="A56" s="24">
        <v>46062</v>
      </c>
      <c r="B56" s="25">
        <v>1</v>
      </c>
      <c r="C56" s="26" t="s">
        <v>81</v>
      </c>
      <c r="D56" s="25" t="s">
        <v>82</v>
      </c>
      <c r="E56" s="27">
        <v>24558</v>
      </c>
      <c r="F56" s="27"/>
      <c r="G56" s="27"/>
      <c r="H56" s="28">
        <f>E56*B56</f>
        <v>24558</v>
      </c>
      <c r="I56" s="27">
        <v>4000</v>
      </c>
      <c r="J56" s="27">
        <f>E56+I56</f>
        <v>28558</v>
      </c>
      <c r="K56" s="25" t="s">
        <v>40</v>
      </c>
    </row>
    <row r="57" spans="1:11" x14ac:dyDescent="0.25">
      <c r="A57" s="24">
        <v>46062</v>
      </c>
      <c r="B57" s="25">
        <v>1</v>
      </c>
      <c r="C57" s="26" t="s">
        <v>83</v>
      </c>
      <c r="D57" s="25" t="s">
        <v>84</v>
      </c>
      <c r="E57" s="27">
        <v>26103</v>
      </c>
      <c r="F57" s="27"/>
      <c r="G57" s="27"/>
      <c r="H57" s="28">
        <f>E57*B57</f>
        <v>26103</v>
      </c>
      <c r="I57" s="27">
        <v>3500</v>
      </c>
      <c r="J57" s="27">
        <f>E57+I57</f>
        <v>29603</v>
      </c>
      <c r="K57" s="25" t="s">
        <v>40</v>
      </c>
    </row>
    <row r="58" spans="1:11" x14ac:dyDescent="0.25">
      <c r="A58" s="24">
        <v>46062</v>
      </c>
      <c r="B58" s="25">
        <v>1</v>
      </c>
      <c r="C58" s="26" t="s">
        <v>85</v>
      </c>
      <c r="D58" s="25" t="s">
        <v>86</v>
      </c>
      <c r="E58" s="27">
        <v>51451</v>
      </c>
      <c r="F58" s="27"/>
      <c r="G58" s="27"/>
      <c r="H58" s="28">
        <f>E58*B58</f>
        <v>51451</v>
      </c>
      <c r="I58" s="27">
        <v>4000</v>
      </c>
      <c r="J58" s="27">
        <f>E58+I58</f>
        <v>55451</v>
      </c>
      <c r="K58" s="25" t="s">
        <v>40</v>
      </c>
    </row>
    <row r="59" spans="1:11" x14ac:dyDescent="0.25">
      <c r="A59" s="24">
        <v>46062</v>
      </c>
      <c r="B59" s="25">
        <v>2</v>
      </c>
      <c r="C59" s="26" t="s">
        <v>87</v>
      </c>
      <c r="D59" s="25" t="s">
        <v>88</v>
      </c>
      <c r="E59" s="27">
        <v>7010</v>
      </c>
      <c r="F59" s="27"/>
      <c r="G59" s="27"/>
      <c r="H59" s="28">
        <f>E59*B59</f>
        <v>14020</v>
      </c>
      <c r="I59" s="27">
        <f>E59*15%</f>
        <v>1051.5</v>
      </c>
      <c r="J59" s="27">
        <v>2000</v>
      </c>
      <c r="K59" s="25" t="s">
        <v>40</v>
      </c>
    </row>
    <row r="60" spans="1:11" x14ac:dyDescent="0.25">
      <c r="A60" s="24">
        <v>46062</v>
      </c>
      <c r="B60" s="25">
        <v>1</v>
      </c>
      <c r="C60" s="26" t="s">
        <v>89</v>
      </c>
      <c r="D60" s="25" t="s">
        <v>90</v>
      </c>
      <c r="E60" s="27">
        <v>34053</v>
      </c>
      <c r="F60" s="27"/>
      <c r="G60" s="27"/>
      <c r="H60" s="28">
        <f>E60*B60</f>
        <v>34053</v>
      </c>
      <c r="I60" s="27">
        <v>4000</v>
      </c>
      <c r="J60" s="27">
        <f>E60+I60</f>
        <v>38053</v>
      </c>
      <c r="K60" s="25" t="s">
        <v>40</v>
      </c>
    </row>
    <row r="61" spans="1:11" x14ac:dyDescent="0.25">
      <c r="A61" s="24">
        <v>46062</v>
      </c>
      <c r="B61" s="25">
        <v>1</v>
      </c>
      <c r="C61" s="26" t="s">
        <v>91</v>
      </c>
      <c r="D61" s="25" t="s">
        <v>92</v>
      </c>
      <c r="E61" s="27">
        <v>45394</v>
      </c>
      <c r="F61" s="27"/>
      <c r="G61" s="27"/>
      <c r="H61" s="28">
        <f>E61*B61</f>
        <v>45394</v>
      </c>
      <c r="I61" s="27">
        <v>4000</v>
      </c>
      <c r="J61" s="27">
        <f>E61+I61</f>
        <v>49394</v>
      </c>
      <c r="K61" s="25" t="s">
        <v>40</v>
      </c>
    </row>
    <row r="62" spans="1:11" x14ac:dyDescent="0.25">
      <c r="A62" s="24">
        <v>46062</v>
      </c>
      <c r="B62" s="25">
        <v>1</v>
      </c>
      <c r="C62" s="26" t="s">
        <v>93</v>
      </c>
      <c r="D62" s="25" t="s">
        <v>94</v>
      </c>
      <c r="E62" s="27">
        <v>39213</v>
      </c>
      <c r="F62" s="27"/>
      <c r="G62" s="27"/>
      <c r="H62" s="28">
        <f>E62*B62</f>
        <v>39213</v>
      </c>
      <c r="I62" s="27">
        <v>4000</v>
      </c>
      <c r="J62" s="27">
        <f>E62+I62</f>
        <v>43213</v>
      </c>
      <c r="K62" s="25" t="s">
        <v>40</v>
      </c>
    </row>
    <row r="63" spans="1:11" x14ac:dyDescent="0.25">
      <c r="A63" s="24">
        <v>46062</v>
      </c>
      <c r="B63" s="25">
        <v>1</v>
      </c>
      <c r="C63" s="26" t="s">
        <v>95</v>
      </c>
      <c r="D63" s="25" t="s">
        <v>94</v>
      </c>
      <c r="E63" s="27">
        <v>39213</v>
      </c>
      <c r="F63" s="27"/>
      <c r="G63" s="27"/>
      <c r="H63" s="28">
        <f>E63*B63</f>
        <v>39213</v>
      </c>
      <c r="I63" s="27">
        <v>4000</v>
      </c>
      <c r="J63" s="27">
        <f>E63+I63</f>
        <v>43213</v>
      </c>
      <c r="K63" s="25" t="s">
        <v>40</v>
      </c>
    </row>
    <row r="64" spans="1:11" x14ac:dyDescent="0.25">
      <c r="A64" s="24">
        <v>46062</v>
      </c>
      <c r="B64" s="25">
        <v>1</v>
      </c>
      <c r="C64" s="26" t="s">
        <v>96</v>
      </c>
      <c r="D64" s="25" t="s">
        <v>22</v>
      </c>
      <c r="E64" s="27">
        <v>30156.76</v>
      </c>
      <c r="F64" s="27"/>
      <c r="G64" s="27"/>
      <c r="H64" s="28">
        <f>E64*B64</f>
        <v>30156.76</v>
      </c>
      <c r="I64" s="27">
        <f>E64*15%</f>
        <v>4523.5139999999992</v>
      </c>
      <c r="J64" s="27">
        <f>E64+I64</f>
        <v>34680.273999999998</v>
      </c>
      <c r="K64" s="25" t="s">
        <v>40</v>
      </c>
    </row>
    <row r="65" spans="1:11" x14ac:dyDescent="0.25">
      <c r="A65" s="24">
        <v>46062</v>
      </c>
      <c r="B65" s="25">
        <v>5</v>
      </c>
      <c r="C65" s="29" t="s">
        <v>21</v>
      </c>
      <c r="D65" s="30" t="s">
        <v>22</v>
      </c>
      <c r="E65" s="27">
        <v>11292.3</v>
      </c>
      <c r="F65" s="27"/>
      <c r="G65" s="27"/>
      <c r="H65" s="28">
        <f>E65*B65</f>
        <v>56461.5</v>
      </c>
      <c r="I65" s="27">
        <f>E65*20%</f>
        <v>2258.46</v>
      </c>
      <c r="J65" s="27">
        <v>14000</v>
      </c>
      <c r="K65" s="25" t="s">
        <v>40</v>
      </c>
    </row>
    <row r="66" spans="1:11" x14ac:dyDescent="0.25">
      <c r="A66" s="24">
        <v>46062</v>
      </c>
      <c r="B66" s="25">
        <v>10</v>
      </c>
      <c r="C66" s="29" t="s">
        <v>21</v>
      </c>
      <c r="D66" s="25" t="s">
        <v>23</v>
      </c>
      <c r="E66" s="27">
        <v>16335.64</v>
      </c>
      <c r="F66" s="27"/>
      <c r="G66" s="27"/>
      <c r="H66" s="28">
        <f>E66*B66</f>
        <v>163356.4</v>
      </c>
      <c r="I66" s="27">
        <f>E66*20%</f>
        <v>3267.1280000000002</v>
      </c>
      <c r="J66" s="27">
        <v>20000</v>
      </c>
      <c r="K66" s="25" t="s">
        <v>13</v>
      </c>
    </row>
    <row r="67" spans="1:11" x14ac:dyDescent="0.25">
      <c r="A67" s="24">
        <v>46062</v>
      </c>
      <c r="B67" s="25">
        <v>2</v>
      </c>
      <c r="C67" s="29" t="s">
        <v>16</v>
      </c>
      <c r="D67" s="25" t="s">
        <v>17</v>
      </c>
      <c r="E67" s="27">
        <v>23125.11</v>
      </c>
      <c r="F67" s="27"/>
      <c r="G67" s="27"/>
      <c r="H67" s="28">
        <f>E67*B67</f>
        <v>46250.22</v>
      </c>
      <c r="I67" s="27">
        <f>E67*20%</f>
        <v>4625.0219999999999</v>
      </c>
      <c r="J67" s="27">
        <f>E67+I67</f>
        <v>27750.132000000001</v>
      </c>
      <c r="K67" s="25" t="s">
        <v>13</v>
      </c>
    </row>
    <row r="68" spans="1:11" x14ac:dyDescent="0.25">
      <c r="A68" s="24">
        <v>46060</v>
      </c>
      <c r="B68" s="25">
        <v>1</v>
      </c>
      <c r="C68" s="29" t="s">
        <v>11</v>
      </c>
      <c r="D68" s="25" t="s">
        <v>12</v>
      </c>
      <c r="E68" s="27">
        <v>18201.099999999999</v>
      </c>
      <c r="F68" s="27"/>
      <c r="G68" s="27"/>
      <c r="H68" s="28">
        <f>E68*B68</f>
        <v>18201.099999999999</v>
      </c>
      <c r="I68" s="27">
        <f>E68*20%</f>
        <v>3640.22</v>
      </c>
      <c r="J68" s="27">
        <v>22000</v>
      </c>
      <c r="K68" s="25" t="s">
        <v>13</v>
      </c>
    </row>
    <row r="69" spans="1:11" x14ac:dyDescent="0.25">
      <c r="A69" s="24">
        <v>46060</v>
      </c>
      <c r="B69" s="31">
        <v>1</v>
      </c>
      <c r="C69" s="32" t="s">
        <v>14</v>
      </c>
      <c r="D69" s="31" t="s">
        <v>12</v>
      </c>
      <c r="E69" s="33">
        <v>18201.099999999999</v>
      </c>
      <c r="F69" s="33"/>
      <c r="G69" s="33"/>
      <c r="H69" s="28">
        <f>E69*B69</f>
        <v>18201.099999999999</v>
      </c>
      <c r="I69" s="27">
        <f>E69*20%</f>
        <v>3640.22</v>
      </c>
      <c r="J69" s="27">
        <v>22000</v>
      </c>
      <c r="K69" s="25" t="s">
        <v>13</v>
      </c>
    </row>
    <row r="70" spans="1:11" x14ac:dyDescent="0.25">
      <c r="A70" s="24">
        <v>46057</v>
      </c>
      <c r="B70" s="25">
        <v>10</v>
      </c>
      <c r="C70" s="26" t="s">
        <v>65</v>
      </c>
      <c r="D70" s="25" t="s">
        <v>97</v>
      </c>
      <c r="E70" s="27">
        <v>16000</v>
      </c>
      <c r="F70" s="27"/>
      <c r="G70" s="27"/>
      <c r="H70" s="28">
        <f>E70*B70</f>
        <v>160000</v>
      </c>
      <c r="I70" s="27">
        <f>E70*20%</f>
        <v>3200</v>
      </c>
      <c r="J70" s="27">
        <v>19000</v>
      </c>
      <c r="K70" s="25" t="s">
        <v>66</v>
      </c>
    </row>
    <row r="71" spans="1:11" x14ac:dyDescent="0.25">
      <c r="A71" s="24">
        <v>46072</v>
      </c>
      <c r="B71" s="25">
        <v>1</v>
      </c>
      <c r="C71" s="26" t="s">
        <v>73</v>
      </c>
      <c r="D71" s="25" t="s">
        <v>33</v>
      </c>
      <c r="E71" s="27">
        <v>35094.129999999997</v>
      </c>
      <c r="F71" s="27"/>
      <c r="G71" s="27"/>
      <c r="H71" s="28">
        <f>E71*B71</f>
        <v>35094.129999999997</v>
      </c>
      <c r="I71" s="27">
        <f>E71*20%</f>
        <v>7018.826</v>
      </c>
      <c r="J71" s="27">
        <v>43000</v>
      </c>
      <c r="K71" s="25" t="s">
        <v>34</v>
      </c>
    </row>
    <row r="72" spans="1:11" x14ac:dyDescent="0.25">
      <c r="A72" s="24">
        <v>46072</v>
      </c>
      <c r="B72" s="25">
        <v>4</v>
      </c>
      <c r="C72" s="26" t="s">
        <v>35</v>
      </c>
      <c r="D72" s="25" t="s">
        <v>98</v>
      </c>
      <c r="E72" s="27">
        <v>4378.3999999999996</v>
      </c>
      <c r="F72" s="27"/>
      <c r="G72" s="27"/>
      <c r="H72" s="28">
        <f>E72*B72</f>
        <v>17513.599999999999</v>
      </c>
      <c r="I72" s="27">
        <f>E72*20%</f>
        <v>875.68</v>
      </c>
      <c r="J72" s="27">
        <f>E72+I72</f>
        <v>5254.08</v>
      </c>
      <c r="K72" s="25" t="s">
        <v>34</v>
      </c>
    </row>
    <row r="73" spans="1:11" x14ac:dyDescent="0.25">
      <c r="A73" s="24">
        <v>46072</v>
      </c>
      <c r="B73" s="25">
        <v>1</v>
      </c>
      <c r="C73" s="26" t="s">
        <v>99</v>
      </c>
      <c r="D73" s="25" t="s">
        <v>86</v>
      </c>
      <c r="E73" s="27">
        <v>47909.93</v>
      </c>
      <c r="F73" s="27"/>
      <c r="G73" s="27"/>
      <c r="H73" s="28">
        <f>E73*B73</f>
        <v>47909.93</v>
      </c>
      <c r="I73" s="27">
        <v>5000</v>
      </c>
      <c r="J73" s="27">
        <f>E73+I73</f>
        <v>52909.93</v>
      </c>
      <c r="K73" s="25" t="s">
        <v>34</v>
      </c>
    </row>
    <row r="74" spans="1:11" x14ac:dyDescent="0.25">
      <c r="A74" s="24">
        <v>46072</v>
      </c>
      <c r="B74" s="25">
        <v>1</v>
      </c>
      <c r="C74" s="26" t="s">
        <v>100</v>
      </c>
      <c r="D74" s="25" t="s">
        <v>20</v>
      </c>
      <c r="E74" s="27">
        <v>17100.28</v>
      </c>
      <c r="F74" s="27"/>
      <c r="G74" s="27"/>
      <c r="H74" s="28">
        <f>E74*B74</f>
        <v>17100.28</v>
      </c>
      <c r="I74" s="27">
        <f>E74*20%</f>
        <v>3420.056</v>
      </c>
      <c r="J74" s="27">
        <f>E74+I74</f>
        <v>20520.335999999999</v>
      </c>
      <c r="K74" s="25" t="s">
        <v>34</v>
      </c>
    </row>
    <row r="75" spans="1:11" x14ac:dyDescent="0.25">
      <c r="A75" s="24">
        <v>46073</v>
      </c>
      <c r="B75" s="25">
        <v>1</v>
      </c>
      <c r="C75" s="26" t="s">
        <v>101</v>
      </c>
      <c r="D75" s="25" t="s">
        <v>102</v>
      </c>
      <c r="E75" s="34">
        <v>11025</v>
      </c>
      <c r="F75" s="34"/>
      <c r="G75" s="34"/>
      <c r="H75" s="28">
        <f>E75*B75</f>
        <v>11025</v>
      </c>
      <c r="I75" s="27">
        <f>E75*20%</f>
        <v>2205</v>
      </c>
      <c r="J75" s="27">
        <v>1000</v>
      </c>
      <c r="K75" s="25" t="s">
        <v>55</v>
      </c>
    </row>
    <row r="76" spans="1:11" x14ac:dyDescent="0.25">
      <c r="A76" s="24">
        <v>46073</v>
      </c>
      <c r="B76" s="25">
        <v>1</v>
      </c>
      <c r="C76" s="26" t="s">
        <v>103</v>
      </c>
      <c r="D76" s="25" t="s">
        <v>102</v>
      </c>
      <c r="E76" s="34">
        <v>11025</v>
      </c>
      <c r="F76" s="34"/>
      <c r="G76" s="34"/>
      <c r="H76" s="28">
        <f>E76*B76</f>
        <v>11025</v>
      </c>
      <c r="I76" s="27">
        <f>E76*20%</f>
        <v>2205</v>
      </c>
      <c r="J76" s="27">
        <v>1000</v>
      </c>
      <c r="K76" s="25" t="s">
        <v>55</v>
      </c>
    </row>
    <row r="77" spans="1:11" x14ac:dyDescent="0.25">
      <c r="A77" s="24">
        <v>46073</v>
      </c>
      <c r="B77" s="25">
        <v>1</v>
      </c>
      <c r="C77" s="29" t="s">
        <v>104</v>
      </c>
      <c r="D77" s="25" t="s">
        <v>20</v>
      </c>
      <c r="E77" s="34">
        <v>35439</v>
      </c>
      <c r="F77" s="34"/>
      <c r="G77" s="34"/>
      <c r="H77" s="28">
        <f>E77*B77</f>
        <v>35439</v>
      </c>
      <c r="I77" s="27">
        <v>4600</v>
      </c>
      <c r="J77" s="27">
        <f>E77+I77</f>
        <v>40039</v>
      </c>
      <c r="K77" s="25" t="s">
        <v>55</v>
      </c>
    </row>
    <row r="78" spans="1:11" x14ac:dyDescent="0.25">
      <c r="A78" s="24">
        <v>46073</v>
      </c>
      <c r="B78" s="25">
        <v>1</v>
      </c>
      <c r="C78" s="29" t="s">
        <v>105</v>
      </c>
      <c r="D78" s="25" t="s">
        <v>20</v>
      </c>
      <c r="E78" s="34">
        <v>44063.199999999997</v>
      </c>
      <c r="F78" s="34"/>
      <c r="G78" s="34"/>
      <c r="H78" s="28">
        <f>E78*B78</f>
        <v>44063.199999999997</v>
      </c>
      <c r="I78" s="27">
        <v>5000</v>
      </c>
      <c r="J78" s="27">
        <f>E78+I78</f>
        <v>49063.199999999997</v>
      </c>
      <c r="K78" s="25" t="s">
        <v>55</v>
      </c>
    </row>
    <row r="79" spans="1:11" x14ac:dyDescent="0.25">
      <c r="A79" s="24">
        <v>46073</v>
      </c>
      <c r="B79" s="25">
        <v>1</v>
      </c>
      <c r="C79" s="29" t="s">
        <v>106</v>
      </c>
      <c r="D79" s="25" t="s">
        <v>20</v>
      </c>
      <c r="E79" s="34">
        <v>54463</v>
      </c>
      <c r="F79" s="34"/>
      <c r="G79" s="34"/>
      <c r="H79" s="28">
        <f>E79*B79</f>
        <v>54463</v>
      </c>
      <c r="I79" s="27">
        <v>5000</v>
      </c>
      <c r="J79" s="27">
        <f>E79+I79</f>
        <v>59463</v>
      </c>
      <c r="K79" s="25" t="s">
        <v>55</v>
      </c>
    </row>
    <row r="80" spans="1:11" x14ac:dyDescent="0.25">
      <c r="A80" s="24">
        <v>46073</v>
      </c>
      <c r="B80" s="25">
        <v>2</v>
      </c>
      <c r="C80" s="29" t="s">
        <v>107</v>
      </c>
      <c r="D80" s="35"/>
      <c r="E80" s="34">
        <v>10080</v>
      </c>
      <c r="F80" s="34"/>
      <c r="G80" s="34"/>
      <c r="H80" s="28">
        <f>E80*B80</f>
        <v>20160</v>
      </c>
      <c r="I80" s="27">
        <v>3000</v>
      </c>
      <c r="J80" s="27">
        <f>E80+I80</f>
        <v>13080</v>
      </c>
      <c r="K80" s="25" t="s">
        <v>55</v>
      </c>
    </row>
    <row r="81" spans="1:11" x14ac:dyDescent="0.25">
      <c r="A81" s="24">
        <v>46073</v>
      </c>
      <c r="B81" s="25">
        <v>1</v>
      </c>
      <c r="C81" s="29" t="s">
        <v>108</v>
      </c>
      <c r="D81" s="25">
        <v>1</v>
      </c>
      <c r="E81" s="34">
        <v>9271.35</v>
      </c>
      <c r="F81" s="34"/>
      <c r="G81" s="34"/>
      <c r="H81" s="28">
        <f>E81*B81</f>
        <v>9271.35</v>
      </c>
      <c r="I81" s="27">
        <f>E81*20%</f>
        <v>1854.2700000000002</v>
      </c>
      <c r="J81" s="27">
        <f>E81+I81</f>
        <v>11125.62</v>
      </c>
      <c r="K81" s="25" t="s">
        <v>55</v>
      </c>
    </row>
    <row r="82" spans="1:11" x14ac:dyDescent="0.25">
      <c r="A82" s="24">
        <v>46073</v>
      </c>
      <c r="B82" s="25">
        <v>1</v>
      </c>
      <c r="C82" s="26" t="s">
        <v>109</v>
      </c>
      <c r="D82" s="25">
        <v>1</v>
      </c>
      <c r="E82" s="34">
        <v>6606.6</v>
      </c>
      <c r="F82" s="34"/>
      <c r="G82" s="34"/>
      <c r="H82" s="28">
        <f>E82*B82</f>
        <v>6606.6</v>
      </c>
      <c r="I82" s="27">
        <v>2000</v>
      </c>
      <c r="J82" s="27">
        <v>9000</v>
      </c>
      <c r="K82" s="25" t="s">
        <v>55</v>
      </c>
    </row>
    <row r="83" spans="1:11" x14ac:dyDescent="0.25">
      <c r="A83" s="24">
        <v>46073</v>
      </c>
      <c r="B83" s="25">
        <v>2</v>
      </c>
      <c r="C83" s="26" t="s">
        <v>110</v>
      </c>
      <c r="D83" s="36"/>
      <c r="E83" s="34">
        <v>3098.81</v>
      </c>
      <c r="F83" s="34"/>
      <c r="G83" s="34"/>
      <c r="H83" s="28">
        <f>E83*B83</f>
        <v>6197.62</v>
      </c>
      <c r="I83" s="27">
        <v>900</v>
      </c>
      <c r="J83" s="27">
        <v>4000</v>
      </c>
      <c r="K83" s="25" t="s">
        <v>55</v>
      </c>
    </row>
    <row r="84" spans="1:11" x14ac:dyDescent="0.25">
      <c r="A84" s="37">
        <v>46079</v>
      </c>
      <c r="B84" s="38">
        <v>3</v>
      </c>
      <c r="C84" s="39" t="s">
        <v>111</v>
      </c>
      <c r="D84" s="40"/>
      <c r="E84" s="40">
        <v>2625.22</v>
      </c>
      <c r="F84" s="7">
        <f>E84+L84</f>
        <v>2625.22</v>
      </c>
      <c r="G84" s="13"/>
      <c r="H84" s="13">
        <f>F84*B84</f>
        <v>7875.66</v>
      </c>
      <c r="I84" s="12">
        <f>F84*21%</f>
        <v>551.29619999999989</v>
      </c>
      <c r="J84" s="12">
        <f>I84+F84</f>
        <v>3176.5161999999996</v>
      </c>
      <c r="K84" s="38" t="s">
        <v>13</v>
      </c>
    </row>
    <row r="85" spans="1:11" x14ac:dyDescent="0.25">
      <c r="A85" s="37">
        <v>46079</v>
      </c>
      <c r="B85" s="38">
        <v>2</v>
      </c>
      <c r="C85" s="39" t="s">
        <v>112</v>
      </c>
      <c r="D85" s="40"/>
      <c r="E85" s="40">
        <v>2083.29</v>
      </c>
      <c r="F85" s="7">
        <f>E85+L85</f>
        <v>2083.29</v>
      </c>
      <c r="G85" s="13"/>
      <c r="H85" s="13">
        <f>F85*B85</f>
        <v>4166.58</v>
      </c>
      <c r="I85" s="12">
        <f>F85*21%</f>
        <v>437.49089999999995</v>
      </c>
      <c r="J85" s="12">
        <f>I85+F85</f>
        <v>2520.7808999999997</v>
      </c>
      <c r="K85" s="38" t="s">
        <v>13</v>
      </c>
    </row>
    <row r="86" spans="1:11" x14ac:dyDescent="0.25">
      <c r="A86" s="37">
        <v>46079</v>
      </c>
      <c r="B86" s="38">
        <v>3</v>
      </c>
      <c r="C86" s="39" t="s">
        <v>113</v>
      </c>
      <c r="D86" s="40"/>
      <c r="E86" s="40">
        <v>2625.22</v>
      </c>
      <c r="F86" s="7">
        <f>E86+L86</f>
        <v>2625.22</v>
      </c>
      <c r="G86" s="13"/>
      <c r="H86" s="13">
        <f>F86*B86</f>
        <v>7875.66</v>
      </c>
      <c r="I86" s="12">
        <f>F86*21%</f>
        <v>551.29619999999989</v>
      </c>
      <c r="J86" s="12">
        <f>I86+F86</f>
        <v>3176.5161999999996</v>
      </c>
      <c r="K86" s="38" t="s">
        <v>13</v>
      </c>
    </row>
    <row r="87" spans="1:11" x14ac:dyDescent="0.25">
      <c r="A87" s="37">
        <v>46079</v>
      </c>
      <c r="B87" s="38">
        <v>3</v>
      </c>
      <c r="C87" s="39" t="s">
        <v>114</v>
      </c>
      <c r="D87" s="40"/>
      <c r="E87" s="40">
        <v>2625.22</v>
      </c>
      <c r="F87" s="7">
        <f>E87+L87</f>
        <v>2625.22</v>
      </c>
      <c r="G87" s="13"/>
      <c r="H87" s="13">
        <f>F87*B87</f>
        <v>7875.66</v>
      </c>
      <c r="I87" s="12">
        <f>F87*21%</f>
        <v>551.29619999999989</v>
      </c>
      <c r="J87" s="12">
        <f>I87+F87</f>
        <v>3176.5161999999996</v>
      </c>
      <c r="K87" s="38" t="s">
        <v>13</v>
      </c>
    </row>
    <row r="88" spans="1:11" x14ac:dyDescent="0.25">
      <c r="A88" s="37">
        <v>46079</v>
      </c>
      <c r="B88" s="38">
        <v>1</v>
      </c>
      <c r="C88" s="39" t="s">
        <v>115</v>
      </c>
      <c r="D88" s="40"/>
      <c r="E88" s="40">
        <v>32608.67</v>
      </c>
      <c r="F88" s="7">
        <f>E88+L88</f>
        <v>32608.67</v>
      </c>
      <c r="G88" s="13"/>
      <c r="H88" s="13">
        <f>F88*B88</f>
        <v>32608.67</v>
      </c>
      <c r="I88" s="12">
        <f>F88*21%</f>
        <v>6847.8206999999993</v>
      </c>
      <c r="J88" s="12">
        <f>H88+I88</f>
        <v>39456.490699999995</v>
      </c>
      <c r="K88" s="38" t="s">
        <v>13</v>
      </c>
    </row>
    <row r="89" spans="1:11" x14ac:dyDescent="0.25">
      <c r="A89" s="37">
        <v>46079</v>
      </c>
      <c r="B89" s="38">
        <v>2</v>
      </c>
      <c r="C89" s="39" t="s">
        <v>116</v>
      </c>
      <c r="D89" s="40"/>
      <c r="E89" s="40">
        <v>15042.23</v>
      </c>
      <c r="F89" s="7">
        <f>E89+L89</f>
        <v>15042.23</v>
      </c>
      <c r="G89" s="13"/>
      <c r="H89" s="13">
        <f>F89*B89</f>
        <v>30084.46</v>
      </c>
      <c r="I89" s="12">
        <f>F89*21%</f>
        <v>3158.8682999999996</v>
      </c>
      <c r="J89" s="12">
        <f>I89+F89</f>
        <v>18201.098299999998</v>
      </c>
      <c r="K89" s="38" t="s">
        <v>13</v>
      </c>
    </row>
    <row r="90" spans="1:11" x14ac:dyDescent="0.25">
      <c r="A90" s="37">
        <v>46079</v>
      </c>
      <c r="B90" s="38">
        <v>2</v>
      </c>
      <c r="C90" s="39" t="s">
        <v>117</v>
      </c>
      <c r="D90" s="40"/>
      <c r="E90" s="40">
        <v>15042.23</v>
      </c>
      <c r="F90" s="7">
        <f>E90+L90</f>
        <v>15042.23</v>
      </c>
      <c r="G90" s="13"/>
      <c r="H90" s="13">
        <f>F90*B90</f>
        <v>30084.46</v>
      </c>
      <c r="I90" s="12">
        <f>F90*21%</f>
        <v>3158.8682999999996</v>
      </c>
      <c r="J90" s="12">
        <f>I90+F90</f>
        <v>18201.098299999998</v>
      </c>
      <c r="K90" s="38" t="s">
        <v>13</v>
      </c>
    </row>
    <row r="91" spans="1:11" x14ac:dyDescent="0.25">
      <c r="A91" s="1" t="s">
        <v>0</v>
      </c>
      <c r="B91" s="9" t="s">
        <v>1</v>
      </c>
      <c r="C91" s="2" t="s">
        <v>2</v>
      </c>
      <c r="D91" s="2" t="s">
        <v>3</v>
      </c>
      <c r="E91" s="3" t="s">
        <v>4</v>
      </c>
      <c r="F91" s="3" t="s">
        <v>5</v>
      </c>
      <c r="G91" s="3"/>
      <c r="H91" s="3" t="s">
        <v>7</v>
      </c>
      <c r="I91" s="4">
        <v>0.2</v>
      </c>
      <c r="J91" s="2" t="s">
        <v>8</v>
      </c>
      <c r="K91" s="2" t="s">
        <v>9</v>
      </c>
    </row>
    <row r="92" spans="1:11" x14ac:dyDescent="0.25">
      <c r="A92" s="1">
        <v>46084</v>
      </c>
      <c r="B92" s="9">
        <v>6</v>
      </c>
      <c r="C92" s="6" t="s">
        <v>118</v>
      </c>
      <c r="D92" s="2">
        <v>20</v>
      </c>
      <c r="E92" s="3">
        <v>19152.23</v>
      </c>
      <c r="F92" s="6"/>
      <c r="G92" s="6"/>
      <c r="H92" s="5">
        <f>E92*B92</f>
        <v>114913.38</v>
      </c>
      <c r="I92" s="3">
        <v>3000</v>
      </c>
      <c r="J92" s="3">
        <f>E92+I92</f>
        <v>22152.23</v>
      </c>
      <c r="K92" s="2" t="s">
        <v>34</v>
      </c>
    </row>
    <row r="93" spans="1:11" x14ac:dyDescent="0.25">
      <c r="A93" s="1">
        <v>46084</v>
      </c>
      <c r="B93" s="9">
        <v>1</v>
      </c>
      <c r="C93" s="6" t="s">
        <v>119</v>
      </c>
      <c r="D93" s="2">
        <v>12</v>
      </c>
      <c r="E93" s="3">
        <v>745.5</v>
      </c>
      <c r="F93" s="6"/>
      <c r="G93" s="6"/>
      <c r="H93" s="5">
        <f>E93*B93</f>
        <v>745.5</v>
      </c>
      <c r="I93" s="3">
        <f>E93*30%</f>
        <v>223.65</v>
      </c>
      <c r="J93" s="3">
        <v>1100</v>
      </c>
      <c r="K93" s="2" t="s">
        <v>34</v>
      </c>
    </row>
    <row r="94" spans="1:11" x14ac:dyDescent="0.25">
      <c r="A94" s="1">
        <v>46084</v>
      </c>
      <c r="B94" s="9">
        <v>5</v>
      </c>
      <c r="C94" s="6" t="s">
        <v>120</v>
      </c>
      <c r="D94" s="2" t="s">
        <v>102</v>
      </c>
      <c r="E94" s="3">
        <v>1743.97</v>
      </c>
      <c r="F94" s="6"/>
      <c r="G94" s="6"/>
      <c r="H94" s="5">
        <f>E94*B94</f>
        <v>8719.85</v>
      </c>
      <c r="I94" s="3">
        <f>E94*30%</f>
        <v>523.19100000000003</v>
      </c>
      <c r="J94" s="3">
        <f>E94+I94</f>
        <v>2267.1610000000001</v>
      </c>
      <c r="K94" s="2" t="s">
        <v>34</v>
      </c>
    </row>
    <row r="95" spans="1:11" x14ac:dyDescent="0.25">
      <c r="A95" s="1">
        <v>46084</v>
      </c>
      <c r="B95" s="9">
        <v>2</v>
      </c>
      <c r="C95" s="6" t="s">
        <v>121</v>
      </c>
      <c r="D95" s="2" t="s">
        <v>122</v>
      </c>
      <c r="E95" s="3">
        <v>3851.96</v>
      </c>
      <c r="F95" s="6"/>
      <c r="G95" s="6"/>
      <c r="H95" s="5">
        <f>E95*B95</f>
        <v>7703.92</v>
      </c>
      <c r="I95" s="3">
        <f>E95*30%</f>
        <v>1155.588</v>
      </c>
      <c r="J95" s="3">
        <f>E95+I95</f>
        <v>5007.5479999999998</v>
      </c>
      <c r="K95" s="2" t="s">
        <v>34</v>
      </c>
    </row>
    <row r="96" spans="1:11" x14ac:dyDescent="0.25">
      <c r="A96" s="1">
        <v>46084</v>
      </c>
      <c r="B96" s="9">
        <v>4</v>
      </c>
      <c r="C96" s="6" t="s">
        <v>123</v>
      </c>
      <c r="D96" s="2" t="s">
        <v>122</v>
      </c>
      <c r="E96" s="3">
        <v>4622.3500000000004</v>
      </c>
      <c r="F96" s="6"/>
      <c r="G96" s="6"/>
      <c r="H96" s="5">
        <f>E96*B96</f>
        <v>18489.400000000001</v>
      </c>
      <c r="I96" s="3">
        <v>1000</v>
      </c>
      <c r="J96" s="3">
        <f>E96+I96</f>
        <v>5622.35</v>
      </c>
      <c r="K96" s="2" t="s">
        <v>34</v>
      </c>
    </row>
    <row r="97" spans="1:11" x14ac:dyDescent="0.25">
      <c r="A97" s="1">
        <v>46084</v>
      </c>
      <c r="B97" s="9">
        <v>1</v>
      </c>
      <c r="C97" s="6" t="s">
        <v>124</v>
      </c>
      <c r="D97" s="2" t="s">
        <v>33</v>
      </c>
      <c r="E97" s="3">
        <v>18926.18</v>
      </c>
      <c r="F97" s="6"/>
      <c r="G97" s="6"/>
      <c r="H97" s="5">
        <f>E97*B97</f>
        <v>18926.18</v>
      </c>
      <c r="I97" s="3">
        <f>E97*30%</f>
        <v>5677.8540000000003</v>
      </c>
      <c r="J97" s="3">
        <f>E97+I97</f>
        <v>24604.034</v>
      </c>
      <c r="K97" s="2" t="s">
        <v>34</v>
      </c>
    </row>
    <row r="98" spans="1:11" x14ac:dyDescent="0.25">
      <c r="A98" s="1">
        <v>46084</v>
      </c>
      <c r="B98" s="9">
        <v>1</v>
      </c>
      <c r="C98" s="6" t="s">
        <v>125</v>
      </c>
      <c r="D98" s="2">
        <v>20</v>
      </c>
      <c r="E98" s="3">
        <v>23298.47</v>
      </c>
      <c r="F98" s="6"/>
      <c r="G98" s="6"/>
      <c r="H98" s="5">
        <f>E98*B98</f>
        <v>23298.47</v>
      </c>
      <c r="I98" s="3">
        <f>E98*30%</f>
        <v>6989.5410000000002</v>
      </c>
      <c r="J98" s="3">
        <f>E98+I98</f>
        <v>30288.011000000002</v>
      </c>
      <c r="K98" s="2" t="s">
        <v>34</v>
      </c>
    </row>
    <row r="99" spans="1:11" x14ac:dyDescent="0.25">
      <c r="A99" s="1">
        <v>46090</v>
      </c>
      <c r="B99" s="9">
        <v>2</v>
      </c>
      <c r="C99" s="6" t="s">
        <v>126</v>
      </c>
      <c r="D99" s="2" t="s">
        <v>127</v>
      </c>
      <c r="E99" s="3">
        <v>18347.07</v>
      </c>
      <c r="F99" s="5">
        <f>E99*21%</f>
        <v>3852.8846999999996</v>
      </c>
      <c r="G99" s="5"/>
      <c r="H99" s="5">
        <f>E99+F99</f>
        <v>22199.954699999998</v>
      </c>
      <c r="I99" s="3">
        <f>E99*30%</f>
        <v>5504.1210000000001</v>
      </c>
      <c r="J99" s="3">
        <f t="shared" ref="J99:J108" si="0">H99+I99</f>
        <v>27704.075699999998</v>
      </c>
      <c r="K99" s="2" t="s">
        <v>13</v>
      </c>
    </row>
    <row r="100" spans="1:11" x14ac:dyDescent="0.25">
      <c r="A100" s="1">
        <v>46090</v>
      </c>
      <c r="B100" s="9">
        <v>1</v>
      </c>
      <c r="C100" s="6" t="s">
        <v>128</v>
      </c>
      <c r="D100" s="10" t="s">
        <v>22</v>
      </c>
      <c r="E100" s="41">
        <v>21255.71</v>
      </c>
      <c r="F100" s="5">
        <f>E100*21%</f>
        <v>4463.6990999999998</v>
      </c>
      <c r="G100" s="5"/>
      <c r="H100" s="5">
        <f>E100+F100</f>
        <v>25719.409099999997</v>
      </c>
      <c r="I100" s="3">
        <f>E100*30%</f>
        <v>6376.7129999999997</v>
      </c>
      <c r="J100" s="3">
        <f t="shared" si="0"/>
        <v>32096.122099999997</v>
      </c>
      <c r="K100" s="2" t="s">
        <v>13</v>
      </c>
    </row>
    <row r="101" spans="1:11" x14ac:dyDescent="0.25">
      <c r="A101" s="1">
        <v>46090</v>
      </c>
      <c r="B101" s="9">
        <v>5</v>
      </c>
      <c r="C101" s="6" t="s">
        <v>129</v>
      </c>
      <c r="D101" s="2"/>
      <c r="E101" s="3">
        <v>1725.61</v>
      </c>
      <c r="F101" s="5">
        <f t="shared" ref="F101:F114" si="1">E101*21%</f>
        <v>362.37809999999996</v>
      </c>
      <c r="G101" s="5"/>
      <c r="H101" s="5">
        <f>E101+F101</f>
        <v>2087.9881</v>
      </c>
      <c r="I101" s="3">
        <f>E101*30%</f>
        <v>517.68299999999999</v>
      </c>
      <c r="J101" s="3">
        <f t="shared" si="0"/>
        <v>2605.6711</v>
      </c>
      <c r="K101" s="2" t="s">
        <v>13</v>
      </c>
    </row>
    <row r="102" spans="1:11" x14ac:dyDescent="0.25">
      <c r="A102" s="1">
        <v>46090</v>
      </c>
      <c r="B102" s="9">
        <v>5</v>
      </c>
      <c r="C102" s="6" t="s">
        <v>130</v>
      </c>
      <c r="D102" s="2"/>
      <c r="E102" s="3">
        <v>1807.3</v>
      </c>
      <c r="F102" s="5">
        <f t="shared" si="1"/>
        <v>379.53299999999996</v>
      </c>
      <c r="G102" s="5"/>
      <c r="H102" s="5">
        <f>E102+F102</f>
        <v>2186.8330000000001</v>
      </c>
      <c r="I102" s="3">
        <f>E102*30%</f>
        <v>542.18999999999994</v>
      </c>
      <c r="J102" s="3">
        <f t="shared" si="0"/>
        <v>2729.0230000000001</v>
      </c>
      <c r="K102" s="2" t="s">
        <v>13</v>
      </c>
    </row>
    <row r="103" spans="1:11" x14ac:dyDescent="0.25">
      <c r="A103" s="1">
        <v>46090</v>
      </c>
      <c r="B103" s="9">
        <v>5</v>
      </c>
      <c r="C103" s="6" t="s">
        <v>131</v>
      </c>
      <c r="D103" s="2"/>
      <c r="E103" s="3">
        <v>1888.62</v>
      </c>
      <c r="F103" s="5">
        <f t="shared" si="1"/>
        <v>396.61019999999996</v>
      </c>
      <c r="G103" s="5"/>
      <c r="H103" s="5">
        <f>E103+F103</f>
        <v>2285.2302</v>
      </c>
      <c r="I103" s="3">
        <f>E103*30%</f>
        <v>566.5859999999999</v>
      </c>
      <c r="J103" s="3">
        <f t="shared" si="0"/>
        <v>2851.8161999999998</v>
      </c>
      <c r="K103" s="2" t="s">
        <v>13</v>
      </c>
    </row>
    <row r="104" spans="1:11" x14ac:dyDescent="0.25">
      <c r="A104" s="1">
        <v>46090</v>
      </c>
      <c r="B104" s="9">
        <v>5</v>
      </c>
      <c r="C104" s="6" t="s">
        <v>132</v>
      </c>
      <c r="D104" s="2"/>
      <c r="E104" s="3">
        <v>1725.61</v>
      </c>
      <c r="F104" s="5">
        <f t="shared" si="1"/>
        <v>362.37809999999996</v>
      </c>
      <c r="G104" s="5"/>
      <c r="H104" s="5">
        <f>E104+F104</f>
        <v>2087.9881</v>
      </c>
      <c r="I104" s="3">
        <f>E104*30%</f>
        <v>517.68299999999999</v>
      </c>
      <c r="J104" s="3">
        <f t="shared" si="0"/>
        <v>2605.6711</v>
      </c>
      <c r="K104" s="2" t="s">
        <v>13</v>
      </c>
    </row>
    <row r="105" spans="1:11" x14ac:dyDescent="0.25">
      <c r="A105" s="1">
        <v>46090</v>
      </c>
      <c r="B105" s="9">
        <v>5</v>
      </c>
      <c r="C105" s="6" t="s">
        <v>133</v>
      </c>
      <c r="D105" s="2"/>
      <c r="E105" s="3">
        <v>1844.49</v>
      </c>
      <c r="F105" s="5">
        <f t="shared" si="1"/>
        <v>387.34289999999999</v>
      </c>
      <c r="G105" s="5"/>
      <c r="H105" s="5">
        <f>E105+F105</f>
        <v>2231.8328999999999</v>
      </c>
      <c r="I105" s="3">
        <f>E105*30%</f>
        <v>553.34699999999998</v>
      </c>
      <c r="J105" s="3">
        <f t="shared" si="0"/>
        <v>2785.1799000000001</v>
      </c>
      <c r="K105" s="2" t="s">
        <v>13</v>
      </c>
    </row>
    <row r="106" spans="1:11" x14ac:dyDescent="0.25">
      <c r="A106" s="1">
        <v>46090</v>
      </c>
      <c r="B106" s="9">
        <v>3</v>
      </c>
      <c r="C106" s="6" t="s">
        <v>134</v>
      </c>
      <c r="D106" s="2"/>
      <c r="E106" s="3">
        <v>11005.56</v>
      </c>
      <c r="F106" s="5">
        <f t="shared" si="1"/>
        <v>2311.1675999999998</v>
      </c>
      <c r="G106" s="5"/>
      <c r="H106" s="5">
        <f>E106+F106</f>
        <v>13316.727599999998</v>
      </c>
      <c r="I106" s="3">
        <f>E106*30%</f>
        <v>3301.6679999999997</v>
      </c>
      <c r="J106" s="3">
        <f t="shared" si="0"/>
        <v>16618.395599999996</v>
      </c>
      <c r="K106" s="2" t="s">
        <v>13</v>
      </c>
    </row>
    <row r="107" spans="1:11" x14ac:dyDescent="0.25">
      <c r="A107" s="1">
        <v>46090</v>
      </c>
      <c r="B107" s="9">
        <v>3</v>
      </c>
      <c r="C107" s="6" t="s">
        <v>135</v>
      </c>
      <c r="D107" s="2"/>
      <c r="E107" s="3">
        <v>14535.63</v>
      </c>
      <c r="F107" s="5">
        <f t="shared" si="1"/>
        <v>3052.4822999999997</v>
      </c>
      <c r="G107" s="5"/>
      <c r="H107" s="5">
        <f>E107+F107</f>
        <v>17588.112300000001</v>
      </c>
      <c r="I107" s="3">
        <f>E107*30%</f>
        <v>4360.6889999999994</v>
      </c>
      <c r="J107" s="3">
        <f t="shared" si="0"/>
        <v>21948.801299999999</v>
      </c>
      <c r="K107" s="2" t="s">
        <v>13</v>
      </c>
    </row>
    <row r="108" spans="1:11" x14ac:dyDescent="0.25">
      <c r="A108" s="1">
        <v>46090</v>
      </c>
      <c r="B108" s="9">
        <v>1</v>
      </c>
      <c r="C108" s="6" t="s">
        <v>136</v>
      </c>
      <c r="D108" s="2" t="s">
        <v>20</v>
      </c>
      <c r="E108" s="3">
        <v>19807.98</v>
      </c>
      <c r="F108" s="5">
        <f t="shared" si="1"/>
        <v>4159.6758</v>
      </c>
      <c r="G108" s="5"/>
      <c r="H108" s="5">
        <f>E108+F108</f>
        <v>23967.6558</v>
      </c>
      <c r="I108" s="3">
        <f>E108*30%</f>
        <v>5942.3939999999993</v>
      </c>
      <c r="J108" s="3">
        <f t="shared" si="0"/>
        <v>29910.049800000001</v>
      </c>
      <c r="K108" s="2" t="s">
        <v>13</v>
      </c>
    </row>
    <row r="109" spans="1:11" x14ac:dyDescent="0.25">
      <c r="A109" s="1">
        <v>46090</v>
      </c>
      <c r="B109" s="2">
        <v>2</v>
      </c>
      <c r="C109" s="2" t="s">
        <v>137</v>
      </c>
      <c r="D109" s="2"/>
      <c r="E109" s="3">
        <v>1649.45</v>
      </c>
      <c r="F109" s="5">
        <f t="shared" si="1"/>
        <v>346.3845</v>
      </c>
      <c r="G109" s="5"/>
      <c r="H109" s="5">
        <f>E109+F109</f>
        <v>1995.8344999999999</v>
      </c>
      <c r="I109" s="3">
        <f>E109*30%</f>
        <v>494.83499999999998</v>
      </c>
      <c r="J109" s="3">
        <v>5000</v>
      </c>
      <c r="K109" s="2" t="s">
        <v>13</v>
      </c>
    </row>
    <row r="110" spans="1:11" x14ac:dyDescent="0.25">
      <c r="A110" s="1">
        <v>46090</v>
      </c>
      <c r="B110" s="2">
        <v>2</v>
      </c>
      <c r="C110" s="42" t="s">
        <v>138</v>
      </c>
      <c r="D110" s="2"/>
      <c r="E110" s="3">
        <v>1924.39</v>
      </c>
      <c r="F110" s="5">
        <f t="shared" si="1"/>
        <v>404.12189999999998</v>
      </c>
      <c r="G110" s="5"/>
      <c r="H110" s="5">
        <f>E110+F110</f>
        <v>2328.5119</v>
      </c>
      <c r="I110" s="3">
        <f>E110*30%</f>
        <v>577.31700000000001</v>
      </c>
      <c r="J110" s="3">
        <f>H110+I110</f>
        <v>2905.8289</v>
      </c>
      <c r="K110" s="2" t="s">
        <v>13</v>
      </c>
    </row>
    <row r="111" spans="1:11" x14ac:dyDescent="0.25">
      <c r="A111" s="1">
        <v>46090</v>
      </c>
      <c r="B111" s="2">
        <v>4</v>
      </c>
      <c r="C111" s="2" t="s">
        <v>139</v>
      </c>
      <c r="D111" s="2"/>
      <c r="E111" s="3">
        <v>659.69</v>
      </c>
      <c r="F111" s="5">
        <f t="shared" si="1"/>
        <v>138.53489999999999</v>
      </c>
      <c r="G111" s="5"/>
      <c r="H111" s="5">
        <f>E111+F111</f>
        <v>798.22490000000005</v>
      </c>
      <c r="I111" s="3">
        <f>E111*30%</f>
        <v>197.90700000000001</v>
      </c>
      <c r="J111" s="3">
        <f>H111+I111</f>
        <v>996.13190000000009</v>
      </c>
      <c r="K111" s="2" t="s">
        <v>13</v>
      </c>
    </row>
    <row r="112" spans="1:11" x14ac:dyDescent="0.25">
      <c r="A112" s="1">
        <v>46090</v>
      </c>
      <c r="B112" s="2">
        <v>1</v>
      </c>
      <c r="C112" s="2" t="s">
        <v>140</v>
      </c>
      <c r="D112" s="2"/>
      <c r="E112" s="3">
        <v>18181.82</v>
      </c>
      <c r="F112" s="5">
        <f t="shared" si="1"/>
        <v>3818.1821999999997</v>
      </c>
      <c r="G112" s="5"/>
      <c r="H112" s="5">
        <f>E112+F112</f>
        <v>22000.002199999999</v>
      </c>
      <c r="I112" s="3">
        <f>E112*30%</f>
        <v>5454.5459999999994</v>
      </c>
      <c r="J112" s="3">
        <f>H112+I112</f>
        <v>27454.548199999997</v>
      </c>
      <c r="K112" s="2" t="s">
        <v>13</v>
      </c>
    </row>
    <row r="113" spans="1:11" x14ac:dyDescent="0.25">
      <c r="A113" s="1">
        <v>46090</v>
      </c>
      <c r="B113" s="9">
        <v>1</v>
      </c>
      <c r="C113" s="2" t="s">
        <v>141</v>
      </c>
      <c r="D113" s="2"/>
      <c r="E113" s="3">
        <v>18754.45</v>
      </c>
      <c r="F113" s="5">
        <f t="shared" si="1"/>
        <v>3938.4344999999998</v>
      </c>
      <c r="G113" s="5"/>
      <c r="H113" s="5">
        <f>E113+F113</f>
        <v>22692.8845</v>
      </c>
      <c r="I113" s="3">
        <f>E113*30%</f>
        <v>5626.335</v>
      </c>
      <c r="J113" s="3">
        <v>27000</v>
      </c>
      <c r="K113" s="2" t="s">
        <v>13</v>
      </c>
    </row>
    <row r="114" spans="1:11" x14ac:dyDescent="0.25">
      <c r="A114" s="1">
        <v>46090</v>
      </c>
      <c r="B114" s="9">
        <v>1</v>
      </c>
      <c r="C114" s="2" t="s">
        <v>142</v>
      </c>
      <c r="D114" s="5"/>
      <c r="E114" s="3">
        <v>18754.45</v>
      </c>
      <c r="F114" s="5">
        <f t="shared" si="1"/>
        <v>3938.4344999999998</v>
      </c>
      <c r="G114" s="5"/>
      <c r="H114" s="5">
        <f>E114+F114</f>
        <v>22692.8845</v>
      </c>
      <c r="I114" s="3">
        <f>E114*30%</f>
        <v>5626.335</v>
      </c>
      <c r="J114" s="3">
        <f t="shared" ref="J114:J130" si="2">H114+I114</f>
        <v>28319.219499999999</v>
      </c>
      <c r="K114" s="2" t="s">
        <v>13</v>
      </c>
    </row>
    <row r="115" spans="1:11" x14ac:dyDescent="0.25">
      <c r="A115" s="1">
        <v>46090</v>
      </c>
      <c r="B115" s="9">
        <v>1</v>
      </c>
      <c r="C115" s="6" t="s">
        <v>32</v>
      </c>
      <c r="D115" s="3" t="s">
        <v>143</v>
      </c>
      <c r="E115" s="3">
        <v>35094</v>
      </c>
      <c r="F115" s="6"/>
      <c r="G115" s="6"/>
      <c r="H115" s="5">
        <f>E115+F115</f>
        <v>35094</v>
      </c>
      <c r="I115" s="3">
        <f>E115*25%</f>
        <v>8773.5</v>
      </c>
      <c r="J115" s="3">
        <f t="shared" si="2"/>
        <v>43867.5</v>
      </c>
      <c r="K115" s="2" t="s">
        <v>34</v>
      </c>
    </row>
    <row r="116" spans="1:11" x14ac:dyDescent="0.25">
      <c r="A116" s="1">
        <v>46090</v>
      </c>
      <c r="B116" s="9">
        <v>1</v>
      </c>
      <c r="C116" s="6" t="s">
        <v>35</v>
      </c>
      <c r="D116" s="3" t="s">
        <v>143</v>
      </c>
      <c r="E116" s="3">
        <v>35094</v>
      </c>
      <c r="F116" s="6"/>
      <c r="G116" s="6"/>
      <c r="H116" s="5">
        <f>E116+F116</f>
        <v>35094</v>
      </c>
      <c r="I116" s="3">
        <f>E116*30%</f>
        <v>10528.199999999999</v>
      </c>
      <c r="J116" s="43">
        <f t="shared" si="2"/>
        <v>45622.2</v>
      </c>
      <c r="K116" s="2" t="s">
        <v>34</v>
      </c>
    </row>
    <row r="117" spans="1:11" x14ac:dyDescent="0.25">
      <c r="A117" s="1">
        <v>46090</v>
      </c>
      <c r="B117" s="9">
        <v>1</v>
      </c>
      <c r="C117" s="6" t="s">
        <v>144</v>
      </c>
      <c r="D117" s="3"/>
      <c r="E117" s="3">
        <v>2517</v>
      </c>
      <c r="F117" s="6"/>
      <c r="G117" s="6"/>
      <c r="H117" s="5">
        <f>E117+F117</f>
        <v>2517</v>
      </c>
      <c r="I117" s="3">
        <f>E117*30%</f>
        <v>755.1</v>
      </c>
      <c r="J117" s="43">
        <f t="shared" si="2"/>
        <v>3272.1</v>
      </c>
      <c r="K117" s="2"/>
    </row>
    <row r="118" spans="1:11" x14ac:dyDescent="0.25">
      <c r="A118" s="1">
        <v>46090</v>
      </c>
      <c r="B118" s="9">
        <v>1</v>
      </c>
      <c r="C118" s="6" t="s">
        <v>145</v>
      </c>
      <c r="D118" s="3"/>
      <c r="E118" s="3">
        <v>3835</v>
      </c>
      <c r="F118" s="6"/>
      <c r="G118" s="6"/>
      <c r="H118" s="5">
        <f>E118+F118</f>
        <v>3835</v>
      </c>
      <c r="I118" s="3">
        <f>E118*30%</f>
        <v>1150.5</v>
      </c>
      <c r="J118" s="43">
        <f t="shared" si="2"/>
        <v>4985.5</v>
      </c>
      <c r="K118" s="2"/>
    </row>
    <row r="119" spans="1:11" x14ac:dyDescent="0.25">
      <c r="A119" s="1">
        <v>46090</v>
      </c>
      <c r="B119" s="9">
        <v>1</v>
      </c>
      <c r="C119" s="6" t="s">
        <v>124</v>
      </c>
      <c r="D119" s="3" t="s">
        <v>143</v>
      </c>
      <c r="E119" s="3">
        <v>18926</v>
      </c>
      <c r="F119" s="6"/>
      <c r="G119" s="6"/>
      <c r="H119" s="5">
        <f>E119+F119</f>
        <v>18926</v>
      </c>
      <c r="I119" s="3">
        <f>E119*30%</f>
        <v>5677.8</v>
      </c>
      <c r="J119" s="3">
        <f t="shared" si="2"/>
        <v>24603.8</v>
      </c>
      <c r="K119" s="2" t="s">
        <v>34</v>
      </c>
    </row>
    <row r="120" spans="1:11" x14ac:dyDescent="0.25">
      <c r="A120" s="1">
        <v>46090</v>
      </c>
      <c r="B120" s="9">
        <v>1</v>
      </c>
      <c r="C120" s="6" t="s">
        <v>73</v>
      </c>
      <c r="D120" s="3" t="s">
        <v>143</v>
      </c>
      <c r="E120" s="3">
        <v>35094</v>
      </c>
      <c r="F120" s="6"/>
      <c r="G120" s="6"/>
      <c r="H120" s="5">
        <f>E120+F120</f>
        <v>35094</v>
      </c>
      <c r="I120" s="3">
        <f>E120*30%</f>
        <v>10528.199999999999</v>
      </c>
      <c r="J120" s="3">
        <f t="shared" si="2"/>
        <v>45622.2</v>
      </c>
      <c r="K120" s="2" t="s">
        <v>34</v>
      </c>
    </row>
    <row r="121" spans="1:11" x14ac:dyDescent="0.25">
      <c r="A121" s="1">
        <v>46090</v>
      </c>
      <c r="B121" s="9">
        <v>1</v>
      </c>
      <c r="C121" s="6" t="s">
        <v>146</v>
      </c>
      <c r="D121" s="3" t="s">
        <v>143</v>
      </c>
      <c r="E121" s="3">
        <v>20616</v>
      </c>
      <c r="F121" s="6"/>
      <c r="G121" s="6"/>
      <c r="H121" s="5">
        <f>E121+F121</f>
        <v>20616</v>
      </c>
      <c r="I121" s="3">
        <f>E121*30%</f>
        <v>6184.8</v>
      </c>
      <c r="J121" s="3">
        <f t="shared" si="2"/>
        <v>26800.799999999999</v>
      </c>
      <c r="K121" s="2" t="s">
        <v>34</v>
      </c>
    </row>
    <row r="122" spans="1:11" x14ac:dyDescent="0.25">
      <c r="A122" s="1">
        <v>46093</v>
      </c>
      <c r="B122" s="9">
        <v>5</v>
      </c>
      <c r="C122" s="6" t="s">
        <v>21</v>
      </c>
      <c r="D122" s="3" t="s">
        <v>22</v>
      </c>
      <c r="E122" s="3">
        <v>9332.48</v>
      </c>
      <c r="F122" s="5">
        <f>E122*21%</f>
        <v>1959.8207999999997</v>
      </c>
      <c r="G122" s="5"/>
      <c r="H122" s="5">
        <f>E122+F122</f>
        <v>11292.300799999999</v>
      </c>
      <c r="I122" s="3">
        <f>E122*30%</f>
        <v>2799.7439999999997</v>
      </c>
      <c r="J122" s="3">
        <f t="shared" si="2"/>
        <v>14092.0448</v>
      </c>
      <c r="K122" s="6"/>
    </row>
    <row r="123" spans="1:11" x14ac:dyDescent="0.25">
      <c r="A123" s="1">
        <v>46104</v>
      </c>
      <c r="B123" s="9">
        <v>2</v>
      </c>
      <c r="C123" s="6" t="s">
        <v>147</v>
      </c>
      <c r="D123" s="3" t="s">
        <v>20</v>
      </c>
      <c r="E123" s="3">
        <v>33155.29</v>
      </c>
      <c r="F123" s="5">
        <f>E123*21%</f>
        <v>6962.6108999999997</v>
      </c>
      <c r="G123" s="5"/>
      <c r="H123" s="5">
        <f>E123+F123</f>
        <v>40117.900900000001</v>
      </c>
      <c r="I123" s="3">
        <f>E123*30%</f>
        <v>9946.5869999999995</v>
      </c>
      <c r="J123" s="3">
        <f t="shared" si="2"/>
        <v>50064.4879</v>
      </c>
      <c r="K123" s="6"/>
    </row>
    <row r="124" spans="1:11" x14ac:dyDescent="0.25">
      <c r="A124" s="1">
        <v>46112</v>
      </c>
      <c r="B124" s="9">
        <v>1</v>
      </c>
      <c r="C124" s="44" t="s">
        <v>148</v>
      </c>
      <c r="D124" s="3">
        <v>45516.7</v>
      </c>
      <c r="E124" s="3">
        <v>36201.449999999997</v>
      </c>
      <c r="F124" s="3">
        <f>E124*21%</f>
        <v>7602.3044999999993</v>
      </c>
      <c r="G124" s="3"/>
      <c r="H124" s="5">
        <f>E124+F124</f>
        <v>43803.754499999995</v>
      </c>
      <c r="I124" s="3">
        <v>6000</v>
      </c>
      <c r="J124" s="3">
        <f t="shared" si="2"/>
        <v>49803.754499999995</v>
      </c>
      <c r="K124" s="6"/>
    </row>
    <row r="125" spans="1:11" x14ac:dyDescent="0.25">
      <c r="A125" s="1">
        <v>46112</v>
      </c>
      <c r="B125" s="9">
        <v>2</v>
      </c>
      <c r="C125" s="6" t="s">
        <v>149</v>
      </c>
      <c r="D125" s="3">
        <v>37211.550000000003</v>
      </c>
      <c r="E125" s="3">
        <v>30108.48</v>
      </c>
      <c r="F125" s="3">
        <f t="shared" ref="F125:F130" si="3">E125*21%</f>
        <v>6322.7807999999995</v>
      </c>
      <c r="G125" s="3"/>
      <c r="H125" s="5">
        <f>E125+F125</f>
        <v>36431.260799999996</v>
      </c>
      <c r="I125" s="3">
        <v>6000</v>
      </c>
      <c r="J125" s="3">
        <f t="shared" si="2"/>
        <v>42431.260799999996</v>
      </c>
      <c r="K125" s="6"/>
    </row>
    <row r="126" spans="1:11" x14ac:dyDescent="0.25">
      <c r="A126" s="1">
        <v>46112</v>
      </c>
      <c r="B126" s="2">
        <v>1</v>
      </c>
      <c r="C126" s="6" t="s">
        <v>150</v>
      </c>
      <c r="D126" s="3">
        <v>38845.08</v>
      </c>
      <c r="E126" s="3">
        <v>31117.64</v>
      </c>
      <c r="F126" s="3">
        <f t="shared" si="3"/>
        <v>6534.7043999999996</v>
      </c>
      <c r="G126" s="3"/>
      <c r="H126" s="5">
        <f>E126+F126</f>
        <v>37652.344400000002</v>
      </c>
      <c r="I126" s="3">
        <v>6000</v>
      </c>
      <c r="J126" s="3">
        <f t="shared" si="2"/>
        <v>43652.344400000002</v>
      </c>
      <c r="K126" s="6"/>
    </row>
    <row r="127" spans="1:11" x14ac:dyDescent="0.25">
      <c r="A127" s="1">
        <v>46112</v>
      </c>
      <c r="B127" s="2">
        <v>1</v>
      </c>
      <c r="C127" s="6" t="s">
        <v>151</v>
      </c>
      <c r="D127" s="3"/>
      <c r="E127" s="3">
        <v>22588.03</v>
      </c>
      <c r="F127" s="3">
        <f t="shared" si="3"/>
        <v>4743.4862999999996</v>
      </c>
      <c r="G127" s="3"/>
      <c r="H127" s="5">
        <f>E127+F127</f>
        <v>27331.516299999999</v>
      </c>
      <c r="I127" s="3">
        <v>6000</v>
      </c>
      <c r="J127" s="3">
        <f t="shared" si="2"/>
        <v>33331.516300000003</v>
      </c>
      <c r="K127" s="6"/>
    </row>
    <row r="128" spans="1:11" x14ac:dyDescent="0.25">
      <c r="A128" s="1">
        <v>46112</v>
      </c>
      <c r="B128" s="2">
        <v>1</v>
      </c>
      <c r="C128" s="6" t="s">
        <v>152</v>
      </c>
      <c r="D128" s="3">
        <v>46266.36</v>
      </c>
      <c r="E128" s="3">
        <v>37677.39</v>
      </c>
      <c r="F128" s="3">
        <f t="shared" si="3"/>
        <v>7912.2518999999993</v>
      </c>
      <c r="G128" s="3"/>
      <c r="H128" s="5">
        <f>E128+F128</f>
        <v>45589.641900000002</v>
      </c>
      <c r="I128" s="3">
        <v>6000</v>
      </c>
      <c r="J128" s="3">
        <f t="shared" si="2"/>
        <v>51589.641900000002</v>
      </c>
      <c r="K128" s="6"/>
    </row>
    <row r="129" spans="1:12" x14ac:dyDescent="0.25">
      <c r="A129" s="1">
        <v>46112</v>
      </c>
      <c r="B129" s="2">
        <v>6</v>
      </c>
      <c r="C129" s="6" t="s">
        <v>153</v>
      </c>
      <c r="D129" s="3">
        <v>3693.6</v>
      </c>
      <c r="E129" s="3">
        <v>2644.63</v>
      </c>
      <c r="F129" s="3">
        <f t="shared" si="3"/>
        <v>555.3723</v>
      </c>
      <c r="G129" s="3"/>
      <c r="H129" s="5">
        <f>E129+F129</f>
        <v>3200.0023000000001</v>
      </c>
      <c r="I129" s="3">
        <v>800</v>
      </c>
      <c r="J129" s="3">
        <f t="shared" si="2"/>
        <v>4000.0023000000001</v>
      </c>
      <c r="K129" s="6"/>
    </row>
    <row r="130" spans="1:12" x14ac:dyDescent="0.25">
      <c r="A130" s="1">
        <v>46112</v>
      </c>
      <c r="B130" s="2">
        <v>6</v>
      </c>
      <c r="C130" s="6" t="s">
        <v>154</v>
      </c>
      <c r="D130" s="3">
        <v>3200</v>
      </c>
      <c r="E130" s="3">
        <v>2830.58</v>
      </c>
      <c r="F130" s="3">
        <f t="shared" si="3"/>
        <v>594.42179999999996</v>
      </c>
      <c r="G130" s="3"/>
      <c r="H130" s="5">
        <f>E130+F130</f>
        <v>3425.0018</v>
      </c>
      <c r="I130" s="3">
        <v>700</v>
      </c>
      <c r="J130" s="3">
        <f t="shared" si="2"/>
        <v>4125.0018</v>
      </c>
      <c r="K130" s="6"/>
    </row>
    <row r="131" spans="1:12" x14ac:dyDescent="0.25">
      <c r="A131" s="1">
        <v>46129</v>
      </c>
      <c r="B131" s="2">
        <v>10</v>
      </c>
      <c r="C131" s="6" t="s">
        <v>155</v>
      </c>
      <c r="D131" s="2">
        <v>15</v>
      </c>
      <c r="E131" s="3">
        <v>9332.48</v>
      </c>
      <c r="F131" s="3">
        <f>E131*21%</f>
        <v>1959.8207999999997</v>
      </c>
      <c r="G131" s="3">
        <f>F131+E131</f>
        <v>11292.300799999999</v>
      </c>
      <c r="H131" s="3">
        <f>G131*B131</f>
        <v>112923.00799999999</v>
      </c>
      <c r="I131" s="5">
        <f>G131*25%</f>
        <v>2823.0751999999998</v>
      </c>
      <c r="J131" s="3">
        <v>14500</v>
      </c>
      <c r="K131" s="6"/>
      <c r="L131" s="6"/>
    </row>
    <row r="132" spans="1:12" x14ac:dyDescent="0.25">
      <c r="A132" s="1">
        <v>46129</v>
      </c>
      <c r="B132" s="2">
        <v>10</v>
      </c>
      <c r="C132" s="6" t="s">
        <v>155</v>
      </c>
      <c r="D132" s="2">
        <v>22</v>
      </c>
      <c r="E132" s="3">
        <v>13500.53</v>
      </c>
      <c r="F132" s="3">
        <f>E132*21%</f>
        <v>2835.1113</v>
      </c>
      <c r="G132" s="3">
        <f>F132+E132</f>
        <v>16335.641300000001</v>
      </c>
      <c r="H132" s="3">
        <f>G132*B132</f>
        <v>163356.413</v>
      </c>
      <c r="I132" s="5">
        <f>G132*25%</f>
        <v>4083.9103250000003</v>
      </c>
      <c r="J132" s="3">
        <v>20500</v>
      </c>
      <c r="K132" s="6"/>
      <c r="L132" s="6"/>
    </row>
    <row r="133" spans="1:12" x14ac:dyDescent="0.25">
      <c r="A133" s="1">
        <v>46130</v>
      </c>
      <c r="B133" s="2">
        <v>1</v>
      </c>
      <c r="C133" s="6" t="s">
        <v>74</v>
      </c>
      <c r="D133" s="2">
        <v>20</v>
      </c>
      <c r="E133" s="3">
        <v>35809.97</v>
      </c>
      <c r="F133" s="2"/>
      <c r="G133" s="3">
        <v>35809.97</v>
      </c>
      <c r="H133" s="3">
        <f t="shared" ref="H133:H140" si="4">G133*B133</f>
        <v>35809.97</v>
      </c>
      <c r="I133" s="5">
        <f t="shared" ref="I133:I138" si="5">G133*25%</f>
        <v>8952.4925000000003</v>
      </c>
      <c r="J133" s="3">
        <f t="shared" ref="J133:J138" si="6">H133+I133</f>
        <v>44762.462500000001</v>
      </c>
      <c r="K133" s="6"/>
      <c r="L133" s="6"/>
    </row>
    <row r="134" spans="1:12" x14ac:dyDescent="0.25">
      <c r="A134" s="1">
        <v>46130</v>
      </c>
      <c r="B134" s="2">
        <v>1</v>
      </c>
      <c r="C134" s="6" t="s">
        <v>99</v>
      </c>
      <c r="D134" s="2">
        <v>20</v>
      </c>
      <c r="E134" s="3">
        <v>47909.94</v>
      </c>
      <c r="F134" s="2"/>
      <c r="G134" s="3">
        <v>47909.94</v>
      </c>
      <c r="H134" s="3">
        <f t="shared" si="4"/>
        <v>47909.94</v>
      </c>
      <c r="I134" s="5">
        <f t="shared" si="5"/>
        <v>11977.485000000001</v>
      </c>
      <c r="J134" s="3">
        <f t="shared" si="6"/>
        <v>59887.425000000003</v>
      </c>
      <c r="K134" s="6"/>
      <c r="L134" s="6"/>
    </row>
    <row r="135" spans="1:12" x14ac:dyDescent="0.25">
      <c r="A135" s="1">
        <v>46130</v>
      </c>
      <c r="B135" s="2">
        <v>1</v>
      </c>
      <c r="C135" s="6" t="s">
        <v>36</v>
      </c>
      <c r="D135" s="2">
        <v>18</v>
      </c>
      <c r="E135" s="3">
        <v>28858.240000000002</v>
      </c>
      <c r="F135" s="2"/>
      <c r="G135" s="3">
        <v>28858.240000000002</v>
      </c>
      <c r="H135" s="3">
        <f t="shared" si="4"/>
        <v>28858.240000000002</v>
      </c>
      <c r="I135" s="5">
        <f t="shared" si="5"/>
        <v>7214.56</v>
      </c>
      <c r="J135" s="3">
        <f t="shared" si="6"/>
        <v>36072.800000000003</v>
      </c>
      <c r="K135" s="6"/>
      <c r="L135" s="6"/>
    </row>
    <row r="136" spans="1:12" x14ac:dyDescent="0.25">
      <c r="A136" s="1">
        <v>46130</v>
      </c>
      <c r="B136" s="2">
        <v>1</v>
      </c>
      <c r="C136" s="6" t="s">
        <v>156</v>
      </c>
      <c r="D136" s="2">
        <v>20</v>
      </c>
      <c r="E136" s="3">
        <v>23298.47</v>
      </c>
      <c r="F136" s="2"/>
      <c r="G136" s="3">
        <v>23298.47</v>
      </c>
      <c r="H136" s="3">
        <f t="shared" si="4"/>
        <v>23298.47</v>
      </c>
      <c r="I136" s="5">
        <f t="shared" si="5"/>
        <v>5824.6175000000003</v>
      </c>
      <c r="J136" s="3">
        <f t="shared" si="6"/>
        <v>29123.087500000001</v>
      </c>
      <c r="K136" s="6"/>
      <c r="L136" s="6"/>
    </row>
    <row r="137" spans="1:12" x14ac:dyDescent="0.25">
      <c r="A137" s="1">
        <v>46130</v>
      </c>
      <c r="B137" s="2">
        <v>1</v>
      </c>
      <c r="C137" s="6" t="s">
        <v>157</v>
      </c>
      <c r="D137" s="2">
        <v>10</v>
      </c>
      <c r="E137" s="3">
        <v>21556.73</v>
      </c>
      <c r="F137" s="2"/>
      <c r="G137" s="3">
        <v>21556.73</v>
      </c>
      <c r="H137" s="3">
        <f t="shared" si="4"/>
        <v>21556.73</v>
      </c>
      <c r="I137" s="5">
        <f t="shared" si="5"/>
        <v>5389.1824999999999</v>
      </c>
      <c r="J137" s="3">
        <f t="shared" si="6"/>
        <v>26945.912499999999</v>
      </c>
      <c r="K137" s="6"/>
      <c r="L137" s="6"/>
    </row>
    <row r="138" spans="1:12" x14ac:dyDescent="0.25">
      <c r="A138" s="1">
        <v>46130</v>
      </c>
      <c r="B138" s="2">
        <v>1</v>
      </c>
      <c r="C138" s="6" t="s">
        <v>158</v>
      </c>
      <c r="D138" s="2">
        <v>10</v>
      </c>
      <c r="E138" s="3">
        <v>18926.18</v>
      </c>
      <c r="F138" s="2"/>
      <c r="G138" s="3">
        <v>18926.18</v>
      </c>
      <c r="H138" s="3">
        <f t="shared" si="4"/>
        <v>18926.18</v>
      </c>
      <c r="I138" s="5">
        <f t="shared" si="5"/>
        <v>4731.5450000000001</v>
      </c>
      <c r="J138" s="3">
        <f t="shared" si="6"/>
        <v>23657.724999999999</v>
      </c>
      <c r="K138" s="6"/>
      <c r="L138" s="6"/>
    </row>
    <row r="139" spans="1:12" x14ac:dyDescent="0.25">
      <c r="A139" s="1">
        <v>46130</v>
      </c>
      <c r="B139" s="2">
        <v>12</v>
      </c>
      <c r="C139" s="6" t="s">
        <v>159</v>
      </c>
      <c r="D139" s="2"/>
      <c r="E139" s="3">
        <v>1044.3499999999999</v>
      </c>
      <c r="F139" s="2"/>
      <c r="G139" s="3">
        <v>1044.3499999999999</v>
      </c>
      <c r="H139" s="3">
        <f t="shared" si="4"/>
        <v>12532.199999999999</v>
      </c>
      <c r="I139" s="5">
        <f>G139+30%</f>
        <v>1044.6499999999999</v>
      </c>
      <c r="J139" s="3">
        <f>G139+I139</f>
        <v>2089</v>
      </c>
      <c r="K139" s="6"/>
      <c r="L139" s="6"/>
    </row>
    <row r="140" spans="1:12" x14ac:dyDescent="0.25">
      <c r="A140" s="1">
        <v>46130</v>
      </c>
      <c r="B140" s="2">
        <v>8</v>
      </c>
      <c r="C140" s="6" t="s">
        <v>160</v>
      </c>
      <c r="D140" s="2"/>
      <c r="E140" s="3">
        <v>1562.72</v>
      </c>
      <c r="F140" s="2"/>
      <c r="G140" s="3">
        <v>1562.72</v>
      </c>
      <c r="H140" s="3">
        <f t="shared" si="4"/>
        <v>12501.76</v>
      </c>
      <c r="I140" s="5">
        <f>G140+30%</f>
        <v>1563.02</v>
      </c>
      <c r="J140" s="3">
        <v>4000</v>
      </c>
      <c r="K140" s="6"/>
      <c r="L14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COMPRAS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Teodoro Escobar</dc:creator>
  <cp:lastModifiedBy>Cristian Teodoro Escobar</cp:lastModifiedBy>
  <dcterms:created xsi:type="dcterms:W3CDTF">2026-04-21T19:24:17Z</dcterms:created>
  <dcterms:modified xsi:type="dcterms:W3CDTF">2026-04-21T19:24:53Z</dcterms:modified>
</cp:coreProperties>
</file>